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xiangguot/Desktop/XTANG/NVDA/Work/gputelecom/5GModel/develop/nr_matlab/test/"/>
    </mc:Choice>
  </mc:AlternateContent>
  <xr:revisionPtr revIDLastSave="0" documentId="13_ncr:1_{F32234B6-FE1F-3C47-82B6-E1B89E3CC402}" xr6:coauthVersionLast="47" xr6:coauthVersionMax="47" xr10:uidLastSave="{00000000-0000-0000-0000-000000000000}"/>
  <bookViews>
    <workbookView xWindow="25600" yWindow="460" windowWidth="25600" windowHeight="26520" tabRatio="931" xr2:uid="{E70F5F0B-A5BA-4AD9-BF50-FA9737804343}"/>
  </bookViews>
  <sheets>
    <sheet name="V14 - PDSCH" sheetId="1" r:id="rId1"/>
    <sheet name="V14 - PUSCH" sheetId="5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" i="5" l="1"/>
  <c r="E10" i="5"/>
  <c r="F10" i="5"/>
  <c r="D10" i="1"/>
  <c r="E10" i="1"/>
  <c r="F10" i="1"/>
  <c r="F11" i="5" l="1"/>
  <c r="D11" i="5"/>
  <c r="F11" i="1"/>
  <c r="D11" i="1"/>
  <c r="F26" i="5" a="1"/>
  <c r="E27" i="5" a="1"/>
  <c r="D27" i="5" a="1"/>
  <c r="D26" i="5" a="1"/>
  <c r="E26" i="5" a="1"/>
  <c r="F27" i="5" a="1"/>
  <c r="F26" i="1" a="1"/>
  <c r="E27" i="1" a="1"/>
  <c r="F27" i="1" a="1"/>
  <c r="D26" i="1" a="1"/>
  <c r="D27" i="1" a="1"/>
  <c r="E26" i="1" a="1"/>
  <c r="E27" i="5" l="1"/>
  <c r="D27" i="5"/>
  <c r="F27" i="5"/>
  <c r="F26" i="5"/>
  <c r="D26" i="5"/>
  <c r="E26" i="5"/>
  <c r="E27" i="1"/>
  <c r="F26" i="1"/>
  <c r="F27" i="1"/>
  <c r="D27" i="1"/>
  <c r="D26" i="1"/>
  <c r="E26" i="1"/>
  <c r="E29" i="5" a="1"/>
  <c r="F28" i="5" a="1"/>
  <c r="F29" i="5" a="1"/>
  <c r="E28" i="5" a="1"/>
  <c r="D28" i="5" a="1"/>
  <c r="D29" i="5" a="1"/>
  <c r="D30" i="5" a="1"/>
  <c r="D31" i="5" a="1"/>
  <c r="F30" i="5" a="1"/>
  <c r="F31" i="5" a="1"/>
  <c r="E31" i="5" a="1"/>
  <c r="E30" i="5" a="1"/>
  <c r="E29" i="1" a="1"/>
  <c r="D28" i="1" a="1"/>
  <c r="F29" i="1" a="1"/>
  <c r="E31" i="1" a="1"/>
  <c r="D30" i="1" a="1"/>
  <c r="D31" i="1" a="1"/>
  <c r="D29" i="1" a="1"/>
  <c r="F31" i="1" a="1"/>
  <c r="E30" i="1" a="1"/>
  <c r="F28" i="1" a="1"/>
  <c r="F30" i="1" a="1"/>
  <c r="E28" i="1" a="1"/>
  <c r="F30" i="5" l="1"/>
  <c r="F31" i="5"/>
  <c r="F29" i="5"/>
  <c r="F33" i="5" s="1"/>
  <c r="F28" i="5"/>
  <c r="D31" i="5"/>
  <c r="D30" i="5"/>
  <c r="D28" i="5"/>
  <c r="D29" i="5"/>
  <c r="D33" i="5" s="1"/>
  <c r="D34" i="5" s="1"/>
  <c r="E30" i="5"/>
  <c r="E28" i="5"/>
  <c r="E29" i="5"/>
  <c r="E33" i="5" s="1"/>
  <c r="E31" i="5"/>
  <c r="F31" i="1"/>
  <c r="F28" i="1"/>
  <c r="F30" i="1"/>
  <c r="F29" i="1"/>
  <c r="D31" i="1"/>
  <c r="D28" i="1"/>
  <c r="D30" i="1"/>
  <c r="D29" i="1"/>
  <c r="E28" i="1"/>
  <c r="E30" i="1"/>
  <c r="E29" i="1"/>
  <c r="E31" i="1"/>
  <c r="E33" i="1" l="1"/>
  <c r="D33" i="1"/>
  <c r="F33" i="1"/>
  <c r="D3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<sst xmlns="http://schemas.openxmlformats.org/spreadsheetml/2006/main" count="86" uniqueCount="40">
  <si>
    <t>Test case description</t>
  </si>
  <si>
    <t>Numerology index (μ)</t>
  </si>
  <si>
    <t>Layers (ν)</t>
  </si>
  <si>
    <t>Number of PRBs per user</t>
  </si>
  <si>
    <t>PDSCH symbols per slot</t>
  </si>
  <si>
    <t>PDSCH DMRS symbols per slot</t>
  </si>
  <si>
    <t>max length</t>
  </si>
  <si>
    <t>additional position</t>
  </si>
  <si>
    <t>Modulation order (Qm)</t>
  </si>
  <si>
    <t>Target code rate (R x 1024)</t>
  </si>
  <si>
    <t>Total users</t>
  </si>
  <si>
    <t>Layers per user</t>
  </si>
  <si>
    <t>DL/UL Duplexing</t>
  </si>
  <si>
    <t>Radio environment</t>
  </si>
  <si>
    <t>Channel model</t>
  </si>
  <si>
    <t>FF</t>
  </si>
  <si>
    <t>Maximum Doppler shift</t>
  </si>
  <si>
    <t>SNR</t>
  </si>
  <si>
    <t>40dB</t>
  </si>
  <si>
    <t>LDPC parameters</t>
  </si>
  <si>
    <t>Lifting size per user (Z)</t>
  </si>
  <si>
    <t>Transport block size per user</t>
  </si>
  <si>
    <t>Codeblocks per user (C)</t>
  </si>
  <si>
    <t>Parity check nodes</t>
  </si>
  <si>
    <t>TDD</t>
  </si>
  <si>
    <t>RF chains</t>
  </si>
  <si>
    <t>PUSCH symbols per slot</t>
  </si>
  <si>
    <t>PUSCH DMRS symbols per slot</t>
  </si>
  <si>
    <t>Bandwidth (MHz)</t>
  </si>
  <si>
    <t>MCS table</t>
  </si>
  <si>
    <t>MCS index</t>
  </si>
  <si>
    <t>Number of total PRB</t>
  </si>
  <si>
    <t>UE Group</t>
  </si>
  <si>
    <t>UE Group PRB %</t>
  </si>
  <si>
    <t>V14-DS-08</t>
  </si>
  <si>
    <t>V14-US-08</t>
  </si>
  <si>
    <t>Bandwidth (PRB)</t>
  </si>
  <si>
    <t>Throughput</t>
  </si>
  <si>
    <t>UEG throughput [Mbps]</t>
  </si>
  <si>
    <t>Cell throughput [Mbps]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</si>
</sst>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57171"/>
        <bgColor rgb="FF000000"/>
      </patternFill>
    </fill>
  </fills>
  <borders count="10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0" fontId="1" fillId="0" borderId="0"/>
  </cellStyleXfs>
  <cellXfs count="37">
    <xf numFmtId="0" fontId="0" fillId="0" borderId="0" xfId="0"/>
    <xf numFmtId="0" fontId="0" fillId="2" borderId="0" xfId="0" applyFont="1" applyFill="1" applyAlignment="1">
      <alignment horizontal="left" indent="1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0" fillId="4" borderId="0" xfId="0" applyFont="1" applyFill="1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0" xfId="0" applyAlignment="1">
      <alignment horizontal="right"/>
    </xf>
    <xf numFmtId="0" fontId="0" fillId="5" borderId="0" xfId="0" applyFont="1" applyFill="1" applyAlignment="1">
      <alignment horizontal="left" indent="1"/>
    </xf>
    <xf numFmtId="0" fontId="0" fillId="4" borderId="0" xfId="0" applyFont="1" applyFill="1" applyAlignment="1">
      <alignment horizontal="left" indent="2"/>
    </xf>
    <xf numFmtId="0" fontId="0" fillId="6" borderId="0" xfId="0" applyFont="1" applyFill="1" applyAlignment="1">
      <alignment horizontal="left" indent="1"/>
    </xf>
    <xf numFmtId="0" fontId="0" fillId="0" borderId="4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5" xfId="0" applyBorder="1" applyAlignment="1">
      <alignment horizontal="right"/>
    </xf>
    <xf numFmtId="9" fontId="0" fillId="0" borderId="4" xfId="0" applyNumberFormat="1" applyFill="1" applyBorder="1" applyAlignment="1">
      <alignment horizontal="right"/>
    </xf>
    <xf numFmtId="9" fontId="0" fillId="0" borderId="0" xfId="0" applyNumberFormat="1" applyBorder="1" applyAlignment="1">
      <alignment horizontal="right"/>
    </xf>
    <xf numFmtId="9" fontId="0" fillId="0" borderId="5" xfId="0" applyNumberFormat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0" borderId="4" xfId="0" applyFont="1" applyFill="1" applyBorder="1" applyAlignment="1">
      <alignment horizontal="right"/>
    </xf>
    <xf numFmtId="0" fontId="0" fillId="0" borderId="6" xfId="0" applyFont="1" applyFill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4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2" fillId="3" borderId="1" xfId="0" applyFont="1" applyFill="1" applyBorder="1" applyAlignment="1"/>
    <xf numFmtId="0" fontId="2" fillId="3" borderId="2" xfId="0" applyFont="1" applyFill="1" applyBorder="1" applyAlignment="1"/>
    <xf numFmtId="0" fontId="2" fillId="3" borderId="3" xfId="0" applyFont="1" applyFill="1" applyBorder="1" applyAlignment="1"/>
    <xf numFmtId="0" fontId="4" fillId="7" borderId="0" xfId="0" applyFont="1" applyFill="1" applyAlignment="1">
      <alignment horizontal="right"/>
    </xf>
    <xf numFmtId="0" fontId="4" fillId="7" borderId="9" xfId="0" applyFont="1" applyFill="1" applyBorder="1" applyAlignment="1">
      <alignment horizontal="right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2">
    <cellStyle name="Normal" xfId="0" builtinId="0"/>
    <cellStyle name="Normal 2" xfId="1" xr:uid="{4B40AC08-3DF9-FB46-85A0-B8939A6D5E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AF06-660E-4C87-92B6-5C9221571D00}">
  <sheetPr codeName="Sheet1"/>
  <dimension ref="B2:F34"/>
  <sheetViews>
    <sheetView tabSelected="1" zoomScale="130" zoomScaleNormal="130" workbookViewId="0">
      <selection activeCell="J16" sqref="J16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6" width="12.6640625" customWidth="1"/>
  </cols>
  <sheetData>
    <row r="2" spans="2:6" x14ac:dyDescent="0.2">
      <c r="B2" s="3" t="s">
        <v>0</v>
      </c>
      <c r="D2" s="26" t="s">
        <v>34</v>
      </c>
      <c r="E2" s="27"/>
      <c r="F2" s="28"/>
    </row>
    <row r="3" spans="2:6" x14ac:dyDescent="0.2">
      <c r="B3" s="4" t="s">
        <v>28</v>
      </c>
      <c r="D3" s="10">
        <v>100</v>
      </c>
      <c r="E3" s="11">
        <v>100</v>
      </c>
      <c r="F3" s="12">
        <v>100</v>
      </c>
    </row>
    <row r="4" spans="2:6" x14ac:dyDescent="0.2">
      <c r="B4" s="4" t="s">
        <v>36</v>
      </c>
      <c r="D4" s="10">
        <v>273</v>
      </c>
      <c r="E4" s="11">
        <v>273</v>
      </c>
      <c r="F4" s="12">
        <v>273</v>
      </c>
    </row>
    <row r="5" spans="2:6" x14ac:dyDescent="0.2">
      <c r="B5" s="4" t="s">
        <v>31</v>
      </c>
      <c r="D5" s="10">
        <v>273</v>
      </c>
      <c r="E5" s="11">
        <v>273</v>
      </c>
      <c r="F5" s="12">
        <v>273</v>
      </c>
    </row>
    <row r="6" spans="2:6" x14ac:dyDescent="0.2">
      <c r="B6" s="4" t="s">
        <v>32</v>
      </c>
      <c r="D6" s="10">
        <v>1</v>
      </c>
      <c r="E6" s="11">
        <v>2</v>
      </c>
      <c r="F6" s="12">
        <v>3</v>
      </c>
    </row>
    <row r="7" spans="2:6" x14ac:dyDescent="0.2">
      <c r="B7" s="4" t="s">
        <v>33</v>
      </c>
      <c r="D7" s="13">
        <v>0.2</v>
      </c>
      <c r="E7" s="14">
        <v>0.5</v>
      </c>
      <c r="F7" s="15">
        <v>0.3</v>
      </c>
    </row>
    <row r="8" spans="2:6" x14ac:dyDescent="0.2">
      <c r="B8" s="5" t="s">
        <v>1</v>
      </c>
      <c r="D8" s="10">
        <v>0</v>
      </c>
      <c r="E8" s="11">
        <v>0</v>
      </c>
      <c r="F8" s="12">
        <v>0</v>
      </c>
    </row>
    <row r="9" spans="2:6" x14ac:dyDescent="0.2">
      <c r="B9" s="5" t="s">
        <v>25</v>
      </c>
      <c r="D9" s="10">
        <v>16</v>
      </c>
      <c r="E9" s="11">
        <v>16</v>
      </c>
      <c r="F9" s="12">
        <v>16</v>
      </c>
    </row>
    <row r="10" spans="2:6" x14ac:dyDescent="0.2">
      <c r="B10" s="5" t="s">
        <v>2</v>
      </c>
      <c r="D10" s="10">
        <f t="shared" ref="D10:F10" si="0">D18*D19</f>
        <v>16</v>
      </c>
      <c r="E10" s="10">
        <f t="shared" si="0"/>
        <v>4</v>
      </c>
      <c r="F10" s="10">
        <f t="shared" si="0"/>
        <v>2</v>
      </c>
    </row>
    <row r="11" spans="2:6" x14ac:dyDescent="0.2">
      <c r="B11" s="4" t="s">
        <v>3</v>
      </c>
      <c r="D11" s="10">
        <f>ROUND(D5*D7,0)</f>
        <v>55</v>
      </c>
      <c r="E11" s="11">
        <v>136</v>
      </c>
      <c r="F11" s="12">
        <f>ROUND(F5*F7,0)</f>
        <v>82</v>
      </c>
    </row>
    <row r="12" spans="2:6" x14ac:dyDescent="0.2">
      <c r="B12" s="4" t="s">
        <v>4</v>
      </c>
      <c r="D12" s="10">
        <v>12</v>
      </c>
      <c r="E12" s="11">
        <v>12</v>
      </c>
      <c r="F12" s="12">
        <v>12</v>
      </c>
    </row>
    <row r="13" spans="2:6" x14ac:dyDescent="0.2">
      <c r="B13" s="4" t="s">
        <v>5</v>
      </c>
      <c r="C13" s="6"/>
      <c r="D13" s="10">
        <v>2</v>
      </c>
      <c r="E13" s="11">
        <v>2</v>
      </c>
      <c r="F13" s="12">
        <v>2</v>
      </c>
    </row>
    <row r="14" spans="2:6" x14ac:dyDescent="0.2">
      <c r="B14" s="8" t="s">
        <v>6</v>
      </c>
      <c r="C14" s="6"/>
      <c r="D14" s="10">
        <v>2</v>
      </c>
      <c r="E14" s="11">
        <v>2</v>
      </c>
      <c r="F14" s="12">
        <v>2</v>
      </c>
    </row>
    <row r="15" spans="2:6" x14ac:dyDescent="0.2">
      <c r="B15" s="8" t="s">
        <v>7</v>
      </c>
      <c r="D15" s="10">
        <v>0</v>
      </c>
      <c r="E15" s="11">
        <v>0</v>
      </c>
      <c r="F15" s="12">
        <v>0</v>
      </c>
    </row>
    <row r="16" spans="2:6" x14ac:dyDescent="0.2">
      <c r="B16" s="4" t="s">
        <v>29</v>
      </c>
      <c r="D16" s="10">
        <v>2</v>
      </c>
      <c r="E16" s="11">
        <v>2</v>
      </c>
      <c r="F16" s="12">
        <v>2</v>
      </c>
    </row>
    <row r="17" spans="2:6" x14ac:dyDescent="0.2">
      <c r="B17" s="4" t="s">
        <v>30</v>
      </c>
      <c r="D17" s="10">
        <v>25</v>
      </c>
      <c r="E17" s="11">
        <v>15</v>
      </c>
      <c r="F17" s="12">
        <v>11</v>
      </c>
    </row>
    <row r="18" spans="2:6" x14ac:dyDescent="0.2">
      <c r="B18" s="4" t="s">
        <v>10</v>
      </c>
      <c r="D18" s="10">
        <v>4</v>
      </c>
      <c r="E18" s="11">
        <v>2</v>
      </c>
      <c r="F18" s="12">
        <v>1</v>
      </c>
    </row>
    <row r="19" spans="2:6" x14ac:dyDescent="0.2">
      <c r="B19" s="4" t="s">
        <v>11</v>
      </c>
      <c r="D19" s="10">
        <v>4</v>
      </c>
      <c r="E19" s="11">
        <v>2</v>
      </c>
      <c r="F19" s="12">
        <v>2</v>
      </c>
    </row>
    <row r="20" spans="2:6" x14ac:dyDescent="0.2">
      <c r="B20" s="4" t="s">
        <v>12</v>
      </c>
      <c r="D20" s="10" t="s">
        <v>24</v>
      </c>
      <c r="E20" s="25" t="s">
        <v>24</v>
      </c>
      <c r="F20" s="24" t="s">
        <v>24</v>
      </c>
    </row>
    <row r="21" spans="2:6" x14ac:dyDescent="0.2">
      <c r="B21" s="2" t="s">
        <v>13</v>
      </c>
      <c r="D21" s="16"/>
      <c r="E21" s="17"/>
      <c r="F21" s="18"/>
    </row>
    <row r="22" spans="2:6" x14ac:dyDescent="0.2">
      <c r="B22" s="7" t="s">
        <v>14</v>
      </c>
      <c r="D22" s="10" t="s">
        <v>15</v>
      </c>
      <c r="E22" s="11" t="s">
        <v>15</v>
      </c>
      <c r="F22" s="12" t="s">
        <v>15</v>
      </c>
    </row>
    <row r="23" spans="2:6" x14ac:dyDescent="0.2">
      <c r="B23" s="7" t="s">
        <v>16</v>
      </c>
      <c r="D23" s="10">
        <v>0</v>
      </c>
      <c r="E23" s="11">
        <v>0</v>
      </c>
      <c r="F23" s="12">
        <v>0</v>
      </c>
    </row>
    <row r="24" spans="2:6" x14ac:dyDescent="0.2">
      <c r="B24" s="7" t="s">
        <v>17</v>
      </c>
      <c r="D24" s="10" t="s">
        <v>18</v>
      </c>
      <c r="E24" s="11" t="s">
        <v>18</v>
      </c>
      <c r="F24" s="12" t="s">
        <v>18</v>
      </c>
    </row>
    <row r="25" spans="2:6" x14ac:dyDescent="0.2">
      <c r="B25" s="2" t="s">
        <v>19</v>
      </c>
      <c r="D25" s="16"/>
      <c r="E25" s="17"/>
      <c r="F25" s="18"/>
    </row>
    <row r="26" spans="2:6" x14ac:dyDescent="0.2">
      <c r="B26" s="9" t="s">
        <v>8</v>
      </c>
      <c r="D26" s="10" cm="1">
        <f t="array" ref="D26">Comm_MCS_ModOrd(D16,D17)</f>
        <v>8</v>
      </c>
      <c r="E26" s="11" cm="1">
        <f t="array" ref="E26">Comm_MCS_ModOrd(E16,E17)</f>
        <v>6</v>
      </c>
      <c r="F26" s="12" cm="1">
        <f t="array" ref="F26">Comm_MCS_ModOrd(F16,F17)</f>
        <v>6</v>
      </c>
    </row>
    <row r="27" spans="2:6" x14ac:dyDescent="0.2">
      <c r="B27" s="9" t="s">
        <v>9</v>
      </c>
      <c r="D27" s="10" cm="1">
        <f t="array" ref="D27">Comm_MCS_CodeRate(D16,D17)</f>
        <v>885</v>
      </c>
      <c r="E27" s="11" cm="1">
        <f t="array" ref="E27">Comm_MCS_CodeRate(E16,E17)</f>
        <v>666</v>
      </c>
      <c r="F27" s="12" cm="1">
        <f t="array" ref="F27">Comm_MCS_CodeRate(F16,F17)</f>
        <v>466</v>
      </c>
    </row>
    <row r="28" spans="2:6" x14ac:dyDescent="0.2">
      <c r="B28" s="1" t="s">
        <v>20</v>
      </c>
      <c r="D28" s="19" cm="1">
        <f t="array" ref="D28">Comm_Z(D11, D26, D27, D12, D13, D10/D18)</f>
        <v>384</v>
      </c>
      <c r="E28" s="11" cm="1">
        <f t="array" ref="E28">Comm_Z(E11, E26, E27, E12, E13, E10/E18)</f>
        <v>384</v>
      </c>
      <c r="F28" s="12" cm="1">
        <f t="array" ref="F28">Comm_Z(F11, F26, F27, F12, F13, F10/F18)</f>
        <v>352</v>
      </c>
    </row>
    <row r="29" spans="2:6" x14ac:dyDescent="0.2">
      <c r="B29" s="1" t="s">
        <v>21</v>
      </c>
      <c r="D29" s="19" cm="1">
        <f t="array" ref="D29">Comm_TBS(D11, D26, D27, D12, D13, D10/D18)</f>
        <v>184424</v>
      </c>
      <c r="E29" s="11" cm="1">
        <f t="array" ref="E29">Comm_TBS(E11, E26, E27, E12, E13, E10/E18)</f>
        <v>127080</v>
      </c>
      <c r="F29" s="12" cm="1">
        <f t="array" ref="F29">Comm_TBS(F11, F26, F27, F12, F13, F10/F18)</f>
        <v>53288</v>
      </c>
    </row>
    <row r="30" spans="2:6" x14ac:dyDescent="0.2">
      <c r="B30" s="1" t="s">
        <v>22</v>
      </c>
      <c r="D30" s="19" cm="1">
        <f t="array" ref="D30">Comm_CB(D11, D26, D27, D12, D13, D10/D18)</f>
        <v>22</v>
      </c>
      <c r="E30" s="11" cm="1">
        <f t="array" ref="E30">Comm_CB(E11, E26, E27, E12, E13, E10/E18)</f>
        <v>16</v>
      </c>
      <c r="F30" s="12" cm="1">
        <f t="array" ref="F30">Comm_CB(F11, F26, F27, F12, F13, F10/F18)</f>
        <v>7</v>
      </c>
    </row>
    <row r="31" spans="2:6" x14ac:dyDescent="0.2">
      <c r="B31" s="1" t="s">
        <v>23</v>
      </c>
      <c r="D31" s="20" cm="1">
        <f t="array" ref="D31">Comm_Parity_Nodes(D11, D26, D27, D12, D13, D10/D18)</f>
        <v>6</v>
      </c>
      <c r="E31" s="21" cm="1">
        <f t="array" ref="E31">Comm_Parity_Nodes(E11, E26, E27, E12, E13, E10/E18)</f>
        <v>14</v>
      </c>
      <c r="F31" s="22" cm="1">
        <f t="array" ref="F31">Comm_Parity_Nodes(F11, F26, F27, F12, F13, F10/F18)</f>
        <v>29</v>
      </c>
    </row>
    <row r="32" spans="2:6" x14ac:dyDescent="0.2">
      <c r="B32" s="2" t="s">
        <v>37</v>
      </c>
      <c r="D32" s="29"/>
      <c r="E32" s="29"/>
      <c r="F32" s="30"/>
    </row>
    <row r="33" spans="2:6" x14ac:dyDescent="0.2">
      <c r="B33" s="1" t="s">
        <v>38</v>
      </c>
      <c r="C33" s="31"/>
      <c r="D33">
        <f t="shared" ref="D33:F33" si="1">D29 * D18 * 4 / 5 / 0.5 / 1000</f>
        <v>1180.3136000000002</v>
      </c>
      <c r="E33">
        <f t="shared" si="1"/>
        <v>406.65600000000001</v>
      </c>
      <c r="F33" s="31">
        <f t="shared" si="1"/>
        <v>85.260800000000003</v>
      </c>
    </row>
    <row r="34" spans="2:6" x14ac:dyDescent="0.2">
      <c r="B34" s="1" t="s">
        <v>39</v>
      </c>
      <c r="C34" s="31"/>
      <c r="D34" s="32">
        <f>3 * SUM(D33:F33)</f>
        <v>5016.6912000000002</v>
      </c>
      <c r="E34" s="32"/>
      <c r="F34" s="33"/>
    </row>
  </sheetData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3A6EA-F519-4893-A5D5-CB0001F506B8}">
  <sheetPr codeName="Sheet2"/>
  <dimension ref="B2:G34"/>
  <sheetViews>
    <sheetView zoomScale="130" zoomScaleNormal="130" workbookViewId="0">
      <selection activeCell="M28" sqref="M28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6" width="12.6640625" customWidth="1"/>
  </cols>
  <sheetData>
    <row r="2" spans="2:6" x14ac:dyDescent="0.2">
      <c r="B2" s="3" t="s">
        <v>0</v>
      </c>
      <c r="D2" s="34" t="s">
        <v>35</v>
      </c>
      <c r="E2" s="35"/>
      <c r="F2" s="36"/>
    </row>
    <row r="3" spans="2:6" x14ac:dyDescent="0.2">
      <c r="B3" s="4" t="s">
        <v>28</v>
      </c>
      <c r="D3" s="10">
        <v>100</v>
      </c>
      <c r="E3" s="11">
        <v>100</v>
      </c>
      <c r="F3" s="12">
        <v>100</v>
      </c>
    </row>
    <row r="4" spans="2:6" x14ac:dyDescent="0.2">
      <c r="B4" s="4" t="s">
        <v>36</v>
      </c>
      <c r="D4" s="10">
        <v>273</v>
      </c>
      <c r="E4" s="11">
        <v>273</v>
      </c>
      <c r="F4" s="12">
        <v>273</v>
      </c>
    </row>
    <row r="5" spans="2:6" x14ac:dyDescent="0.2">
      <c r="B5" s="4" t="s">
        <v>31</v>
      </c>
      <c r="D5" s="10">
        <v>273</v>
      </c>
      <c r="E5" s="11">
        <v>273</v>
      </c>
      <c r="F5" s="12">
        <v>273</v>
      </c>
    </row>
    <row r="6" spans="2:6" x14ac:dyDescent="0.2">
      <c r="B6" s="4" t="s">
        <v>32</v>
      </c>
      <c r="D6" s="10">
        <v>1</v>
      </c>
      <c r="E6" s="11">
        <v>2</v>
      </c>
      <c r="F6" s="12">
        <v>3</v>
      </c>
    </row>
    <row r="7" spans="2:6" x14ac:dyDescent="0.2">
      <c r="B7" s="4" t="s">
        <v>33</v>
      </c>
      <c r="D7" s="13">
        <v>0.2</v>
      </c>
      <c r="E7" s="14">
        <v>0.5</v>
      </c>
      <c r="F7" s="15">
        <v>0.3</v>
      </c>
    </row>
    <row r="8" spans="2:6" x14ac:dyDescent="0.2">
      <c r="B8" s="5" t="s">
        <v>1</v>
      </c>
      <c r="D8" s="10">
        <v>0</v>
      </c>
      <c r="E8" s="11">
        <v>0</v>
      </c>
      <c r="F8" s="12">
        <v>0</v>
      </c>
    </row>
    <row r="9" spans="2:6" x14ac:dyDescent="0.2">
      <c r="B9" s="5" t="s">
        <v>25</v>
      </c>
      <c r="D9" s="10">
        <v>16</v>
      </c>
      <c r="E9" s="11">
        <v>16</v>
      </c>
      <c r="F9" s="12">
        <v>16</v>
      </c>
    </row>
    <row r="10" spans="2:6" x14ac:dyDescent="0.2">
      <c r="B10" s="5" t="s">
        <v>2</v>
      </c>
      <c r="D10" s="10">
        <f t="shared" ref="D10:F10" si="0">D18*D19</f>
        <v>8</v>
      </c>
      <c r="E10" s="10">
        <f t="shared" si="0"/>
        <v>2</v>
      </c>
      <c r="F10" s="10">
        <f t="shared" si="0"/>
        <v>1</v>
      </c>
    </row>
    <row r="11" spans="2:6" x14ac:dyDescent="0.2">
      <c r="B11" s="4" t="s">
        <v>3</v>
      </c>
      <c r="D11" s="10">
        <f>ROUND(D5*D7,0)</f>
        <v>55</v>
      </c>
      <c r="E11" s="11">
        <v>136</v>
      </c>
      <c r="F11" s="12">
        <f>ROUND(F5*F7,0)</f>
        <v>82</v>
      </c>
    </row>
    <row r="12" spans="2:6" x14ac:dyDescent="0.2">
      <c r="B12" s="4" t="s">
        <v>26</v>
      </c>
      <c r="D12" s="10">
        <v>14</v>
      </c>
      <c r="E12" s="11">
        <v>14</v>
      </c>
      <c r="F12" s="12">
        <v>14</v>
      </c>
    </row>
    <row r="13" spans="2:6" x14ac:dyDescent="0.2">
      <c r="B13" s="4" t="s">
        <v>27</v>
      </c>
      <c r="C13" s="6"/>
      <c r="D13" s="10">
        <v>2</v>
      </c>
      <c r="E13" s="11">
        <v>2</v>
      </c>
      <c r="F13" s="12">
        <v>2</v>
      </c>
    </row>
    <row r="14" spans="2:6" x14ac:dyDescent="0.2">
      <c r="B14" s="8" t="s">
        <v>6</v>
      </c>
      <c r="C14" s="6"/>
      <c r="D14" s="10">
        <v>2</v>
      </c>
      <c r="E14" s="11">
        <v>2</v>
      </c>
      <c r="F14" s="12">
        <v>2</v>
      </c>
    </row>
    <row r="15" spans="2:6" x14ac:dyDescent="0.2">
      <c r="B15" s="8" t="s">
        <v>7</v>
      </c>
      <c r="D15" s="10">
        <v>0</v>
      </c>
      <c r="E15" s="11">
        <v>0</v>
      </c>
      <c r="F15" s="12">
        <v>0</v>
      </c>
    </row>
    <row r="16" spans="2:6" x14ac:dyDescent="0.2">
      <c r="B16" s="4" t="s">
        <v>29</v>
      </c>
      <c r="D16" s="10">
        <v>2</v>
      </c>
      <c r="E16" s="11">
        <v>2</v>
      </c>
      <c r="F16" s="12">
        <v>2</v>
      </c>
    </row>
    <row r="17" spans="2:7" x14ac:dyDescent="0.2">
      <c r="B17" s="4" t="s">
        <v>30</v>
      </c>
      <c r="D17" s="10">
        <v>23</v>
      </c>
      <c r="E17" s="11">
        <v>14</v>
      </c>
      <c r="F17" s="12">
        <v>6</v>
      </c>
    </row>
    <row r="18" spans="2:7" x14ac:dyDescent="0.2">
      <c r="B18" s="4" t="s">
        <v>10</v>
      </c>
      <c r="D18" s="10">
        <v>4</v>
      </c>
      <c r="E18" s="11">
        <v>2</v>
      </c>
      <c r="F18" s="12">
        <v>1</v>
      </c>
    </row>
    <row r="19" spans="2:7" x14ac:dyDescent="0.2">
      <c r="B19" s="4" t="s">
        <v>11</v>
      </c>
      <c r="D19" s="10">
        <v>2</v>
      </c>
      <c r="E19" s="11">
        <v>1</v>
      </c>
      <c r="F19" s="12">
        <v>1</v>
      </c>
    </row>
    <row r="20" spans="2:7" x14ac:dyDescent="0.2">
      <c r="B20" s="4" t="s">
        <v>12</v>
      </c>
      <c r="D20" s="10" t="s">
        <v>24</v>
      </c>
      <c r="E20" s="25" t="s">
        <v>24</v>
      </c>
      <c r="F20" s="25" t="s">
        <v>24</v>
      </c>
      <c r="G20" s="23"/>
    </row>
    <row r="21" spans="2:7" x14ac:dyDescent="0.2">
      <c r="B21" s="2" t="s">
        <v>13</v>
      </c>
      <c r="D21" s="16"/>
      <c r="E21" s="17"/>
      <c r="F21" s="18"/>
    </row>
    <row r="22" spans="2:7" x14ac:dyDescent="0.2">
      <c r="B22" s="7" t="s">
        <v>14</v>
      </c>
      <c r="D22" s="10" t="s">
        <v>15</v>
      </c>
      <c r="E22" s="11" t="s">
        <v>15</v>
      </c>
      <c r="F22" s="12" t="s">
        <v>15</v>
      </c>
    </row>
    <row r="23" spans="2:7" x14ac:dyDescent="0.2">
      <c r="B23" s="7" t="s">
        <v>16</v>
      </c>
      <c r="D23" s="10">
        <v>0</v>
      </c>
      <c r="E23" s="11">
        <v>0</v>
      </c>
      <c r="F23" s="12">
        <v>0</v>
      </c>
    </row>
    <row r="24" spans="2:7" x14ac:dyDescent="0.2">
      <c r="B24" s="7" t="s">
        <v>17</v>
      </c>
      <c r="D24" s="10" t="s">
        <v>18</v>
      </c>
      <c r="E24" s="11" t="s">
        <v>18</v>
      </c>
      <c r="F24" s="12" t="s">
        <v>18</v>
      </c>
    </row>
    <row r="25" spans="2:7" x14ac:dyDescent="0.2">
      <c r="B25" s="2" t="s">
        <v>19</v>
      </c>
      <c r="D25" s="16"/>
      <c r="E25" s="17"/>
      <c r="F25" s="18"/>
    </row>
    <row r="26" spans="2:7" x14ac:dyDescent="0.2">
      <c r="B26" s="9" t="s">
        <v>8</v>
      </c>
      <c r="D26" s="10" cm="1">
        <f t="array" ref="D26">Comm_MCS_ModOrd(D16,D17)</f>
        <v>8</v>
      </c>
      <c r="E26" s="11" cm="1">
        <f t="array" ref="E26">Comm_MCS_ModOrd(E16,E17)</f>
        <v>6</v>
      </c>
      <c r="F26" s="12" cm="1">
        <f t="array" ref="F26">Comm_MCS_ModOrd(F16,F17)</f>
        <v>4</v>
      </c>
    </row>
    <row r="27" spans="2:7" x14ac:dyDescent="0.2">
      <c r="B27" s="9" t="s">
        <v>9</v>
      </c>
      <c r="D27" s="10" cm="1">
        <f t="array" ref="D27">Comm_MCS_CodeRate(D16,D17)</f>
        <v>797</v>
      </c>
      <c r="E27" s="11" cm="1">
        <f t="array" ref="E27">Comm_MCS_CodeRate(E16,E17)</f>
        <v>616</v>
      </c>
      <c r="F27" s="12" cm="1">
        <f t="array" ref="F27">Comm_MCS_CodeRate(F16,F17)</f>
        <v>434</v>
      </c>
    </row>
    <row r="28" spans="2:7" x14ac:dyDescent="0.2">
      <c r="B28" s="1" t="s">
        <v>20</v>
      </c>
      <c r="D28" s="19" cm="1">
        <f t="array" ref="D28">Comm_Z(D11, D26, D27, D12, D13, D10/D18)</f>
        <v>384</v>
      </c>
      <c r="E28" s="11" cm="1">
        <f t="array" ref="E28">Comm_Z(E11, E26, E27, E12, E13, E10/E18)</f>
        <v>384</v>
      </c>
      <c r="F28" s="12" cm="1">
        <f t="array" ref="F28">Comm_Z(F11, F26, F27, F12, F13, F10/F18)</f>
        <v>320</v>
      </c>
    </row>
    <row r="29" spans="2:7" x14ac:dyDescent="0.2">
      <c r="B29" s="1" t="s">
        <v>21</v>
      </c>
      <c r="D29" s="19" cm="1">
        <f t="array" ref="D29">Comm_TBS(D11, D26, D27, D12, D13, D10/D18)</f>
        <v>98376</v>
      </c>
      <c r="E29" s="11" cm="1">
        <f t="array" ref="E29">Comm_TBS(E11, E26, E27, E12, E13, E10/E18)</f>
        <v>71688</v>
      </c>
      <c r="F29" s="12" cm="1">
        <f t="array" ref="F29">Comm_TBS(F11, F26, F27, F12, F13, F10/F18)</f>
        <v>19968</v>
      </c>
    </row>
    <row r="30" spans="2:7" x14ac:dyDescent="0.2">
      <c r="B30" s="1" t="s">
        <v>22</v>
      </c>
      <c r="D30" s="19" cm="1">
        <f t="array" ref="D30">Comm_CB(D11, D26, D27, D12, D13, D10/D18)</f>
        <v>12</v>
      </c>
      <c r="E30" s="11" cm="1">
        <f t="array" ref="E30">Comm_CB(E11, E26, E27, E12, E13, E10/E18)</f>
        <v>9</v>
      </c>
      <c r="F30" s="12" cm="1">
        <f t="array" ref="F30">Comm_CB(F11, F26, F27, F12, F13, F10/F18)</f>
        <v>3</v>
      </c>
    </row>
    <row r="31" spans="2:7" x14ac:dyDescent="0.2">
      <c r="B31" s="1" t="s">
        <v>23</v>
      </c>
      <c r="D31" s="20" cm="1">
        <f t="array" ref="D31">Comm_Parity_Nodes(D11, D26, D27, D12, D13, D10/D18)</f>
        <v>9</v>
      </c>
      <c r="E31" s="21" cm="1">
        <f t="array" ref="E31">Comm_Parity_Nodes(E11, E26, E27, E12, E13, E10/E18)</f>
        <v>16</v>
      </c>
      <c r="F31" s="22" cm="1">
        <f t="array" ref="F31">Comm_Parity_Nodes(F11, F26, F27, F12, F13, F10/F18)</f>
        <v>31</v>
      </c>
    </row>
    <row r="32" spans="2:7" x14ac:dyDescent="0.2">
      <c r="B32" s="2" t="s">
        <v>37</v>
      </c>
      <c r="D32" s="16"/>
      <c r="E32" s="17"/>
      <c r="F32" s="18"/>
    </row>
    <row r="33" spans="2:6" x14ac:dyDescent="0.2">
      <c r="B33" s="1" t="s">
        <v>38</v>
      </c>
      <c r="C33" s="31"/>
      <c r="D33">
        <f t="shared" ref="D33:F33" si="1">D29 * D18 / 5 / 0.5 / 1000</f>
        <v>157.4016</v>
      </c>
      <c r="E33">
        <f t="shared" si="1"/>
        <v>57.3504</v>
      </c>
      <c r="F33" s="31">
        <f t="shared" si="1"/>
        <v>7.9871999999999996</v>
      </c>
    </row>
    <row r="34" spans="2:6" x14ac:dyDescent="0.2">
      <c r="B34" s="1" t="s">
        <v>39</v>
      </c>
      <c r="C34" s="31"/>
      <c r="D34" s="32">
        <f>3 * SUM(D33:F33)</f>
        <v>668.21760000000006</v>
      </c>
      <c r="E34" s="32"/>
      <c r="F34" s="33"/>
    </row>
  </sheetData>
  <mergeCells count="1">
    <mergeCell ref="D2:F2"/>
  </mergeCells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C906ACEE0BDF4B8A70E2B493C26F37" ma:contentTypeVersion="5" ma:contentTypeDescription="Create a new document." ma:contentTypeScope="" ma:versionID="ad8aeae90cfad541aad32127da97fe18">
  <xsd:schema xmlns:xsd="http://www.w3.org/2001/XMLSchema" xmlns:xs="http://www.w3.org/2001/XMLSchema" xmlns:p="http://schemas.microsoft.com/office/2006/metadata/properties" xmlns:ns3="5a78ed92-e972-479a-a8d3-ca3e1e4d7a31" xmlns:ns4="9a8041e9-946d-412c-a66d-2dd6a75e84ce" targetNamespace="http://schemas.microsoft.com/office/2006/metadata/properties" ma:root="true" ma:fieldsID="4920007a5550ed27a91526cc9c5a79cc" ns3:_="" ns4:_="">
    <xsd:import namespace="5a78ed92-e972-479a-a8d3-ca3e1e4d7a31"/>
    <xsd:import namespace="9a8041e9-946d-412c-a66d-2dd6a75e84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78ed92-e972-479a-a8d3-ca3e1e4d7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041e9-946d-412c-a66d-2dd6a75e84c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C084EC-AA31-48D7-A016-15C18ECDD8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78ed92-e972-479a-a8d3-ca3e1e4d7a31"/>
    <ds:schemaRef ds:uri="9a8041e9-946d-412c-a66d-2dd6a75e84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38E93-EEC8-4F2A-A4FD-45A3FEA68E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F92E8D-40EF-4031-927C-7B228DA0D320}">
  <ds:schemaRefs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5a78ed92-e972-479a-a8d3-ca3e1e4d7a31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a8041e9-946d-412c-a66d-2dd6a75e84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V14 - PDSCH</vt:lpstr>
      <vt:lpstr>V14 - PUSCH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1.0</dc:title>
  <dc:subject/>
  <dc:creator>Tommaso Balercia</dc:creator>
  <cp:keywords/>
  <dc:description/>
  <cp:lastModifiedBy>Microsoft Office User</cp:lastModifiedBy>
  <cp:revision/>
  <dcterms:created xsi:type="dcterms:W3CDTF">2020-04-01T21:44:52Z</dcterms:created>
  <dcterms:modified xsi:type="dcterms:W3CDTF">2021-07-14T20:04:03Z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558183-044c-4105-8d9c-cea02a2a3d86_Enabled">
    <vt:lpwstr>True</vt:lpwstr>
  </property>
  <property fmtid="{D5CDD505-2E9C-101B-9397-08002B2CF9AE}" pid="3" name="MSIP_Label_6b558183-044c-4105-8d9c-cea02a2a3d86_SiteId">
    <vt:lpwstr>43083d15-7273-40c1-b7db-39efd9ccc17a</vt:lpwstr>
  </property>
  <property fmtid="{D5CDD505-2E9C-101B-9397-08002B2CF9AE}" pid="4" name="MSIP_Label_6b558183-044c-4105-8d9c-cea02a2a3d86_Owner">
    <vt:lpwstr>tbalercia@nvidia.com</vt:lpwstr>
  </property>
  <property fmtid="{D5CDD505-2E9C-101B-9397-08002B2CF9AE}" pid="5" name="MSIP_Label_6b558183-044c-4105-8d9c-cea02a2a3d86_SetDate">
    <vt:lpwstr>2020-04-02T01:12:22.9531466Z</vt:lpwstr>
  </property>
  <property fmtid="{D5CDD505-2E9C-101B-9397-08002B2CF9AE}" pid="6" name="MSIP_Label_6b558183-044c-4105-8d9c-cea02a2a3d86_Name">
    <vt:lpwstr>Unrestricted</vt:lpwstr>
  </property>
  <property fmtid="{D5CDD505-2E9C-101B-9397-08002B2CF9AE}" pid="7" name="MSIP_Label_6b558183-044c-4105-8d9c-cea02a2a3d86_Application">
    <vt:lpwstr>Microsoft Azure Information Protection</vt:lpwstr>
  </property>
  <property fmtid="{D5CDD505-2E9C-101B-9397-08002B2CF9AE}" pid="8" name="MSIP_Label_6b558183-044c-4105-8d9c-cea02a2a3d86_Extended_MSFT_Method">
    <vt:lpwstr>Automatic</vt:lpwstr>
  </property>
  <property fmtid="{D5CDD505-2E9C-101B-9397-08002B2CF9AE}" pid="9" name="Sensitivity">
    <vt:lpwstr>Unrestricted</vt:lpwstr>
  </property>
  <property fmtid="{D5CDD505-2E9C-101B-9397-08002B2CF9AE}" pid="10" name="ContentTypeId">
    <vt:lpwstr>0x0101005FC906ACEE0BDF4B8A70E2B493C26F37</vt:lpwstr>
  </property>
</Properties>
</file>