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balercia/workspace/5GModel/nr_matlab/test/"/>
    </mc:Choice>
  </mc:AlternateContent>
  <xr:revisionPtr revIDLastSave="0" documentId="13_ncr:1_{59656976-3881-AF46-BB0C-6F0307CB1D47}" xr6:coauthVersionLast="47" xr6:coauthVersionMax="47" xr10:uidLastSave="{00000000-0000-0000-0000-000000000000}"/>
  <bookViews>
    <workbookView xWindow="0" yWindow="500" windowWidth="35840" windowHeight="21900" tabRatio="931" activeTab="2" xr2:uid="{00000000-000D-0000-FFFF-FFFF00000000}"/>
  </bookViews>
  <sheets>
    <sheet name="F01 - PDSCH" sheetId="4" r:id="rId1"/>
    <sheet name="F01 - PUSCH" sheetId="6" r:id="rId2"/>
    <sheet name="F14 - PDSCH" sheetId="1" r:id="rId3"/>
    <sheet name="F14 - PUSCH" sheetId="5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5" l="1"/>
  <c r="F7" i="5"/>
  <c r="E7" i="5"/>
  <c r="G7" i="1"/>
  <c r="F7" i="1"/>
  <c r="E7" i="1"/>
  <c r="G7" i="6" l="1"/>
  <c r="F7" i="6"/>
  <c r="E7" i="6"/>
  <c r="G7" i="4"/>
  <c r="F7" i="4"/>
  <c r="E7" i="4"/>
  <c r="F26" i="6" a="1"/>
  <c r="E26" i="6" a="1"/>
  <c r="G27" i="6" a="1"/>
  <c r="E27" i="6" a="1"/>
  <c r="G26" i="6" a="1"/>
  <c r="F27" i="6" a="1"/>
  <c r="F26" i="4" a="1"/>
  <c r="E26" i="4" a="1"/>
  <c r="G27" i="4" a="1"/>
  <c r="G26" i="4" a="1"/>
  <c r="F27" i="4" a="1"/>
  <c r="E27" i="4" a="1"/>
  <c r="E27" i="5" a="1"/>
  <c r="E26" i="5" a="1"/>
  <c r="F27" i="5" a="1"/>
  <c r="G26" i="5" a="1"/>
  <c r="G27" i="5" a="1"/>
  <c r="F26" i="5" a="1"/>
  <c r="G26" i="1" a="1"/>
  <c r="F27" i="1" a="1"/>
  <c r="G27" i="1" a="1"/>
  <c r="F26" i="1" a="1"/>
  <c r="E27" i="1" a="1"/>
  <c r="E26" i="1" a="1"/>
  <c r="G27" i="5" l="1"/>
  <c r="G26" i="5"/>
  <c r="F27" i="5"/>
  <c r="E27" i="5"/>
  <c r="E26" i="5"/>
  <c r="F26" i="5"/>
  <c r="E27" i="1"/>
  <c r="F27" i="1"/>
  <c r="G27" i="1"/>
  <c r="G26" i="1"/>
  <c r="E26" i="1"/>
  <c r="F26" i="1"/>
  <c r="F27" i="6"/>
  <c r="G26" i="6"/>
  <c r="E27" i="6"/>
  <c r="G27" i="6"/>
  <c r="E26" i="6"/>
  <c r="F26" i="6"/>
  <c r="E27" i="4"/>
  <c r="F27" i="4"/>
  <c r="G26" i="4"/>
  <c r="G27" i="4"/>
  <c r="E26" i="4"/>
  <c r="F26" i="4"/>
  <c r="D26" i="6" a="1"/>
  <c r="D27" i="6" a="1"/>
  <c r="F29" i="6" a="1"/>
  <c r="F30" i="6" a="1"/>
  <c r="F28" i="6" a="1"/>
  <c r="F31" i="6" a="1"/>
  <c r="E28" i="6" a="1"/>
  <c r="E30" i="6" a="1"/>
  <c r="E31" i="6" a="1"/>
  <c r="E29" i="6" a="1"/>
  <c r="G30" i="6" a="1"/>
  <c r="G28" i="6" a="1"/>
  <c r="G31" i="6" a="1"/>
  <c r="G29" i="6" a="1"/>
  <c r="E28" i="4" a="1"/>
  <c r="F28" i="4" a="1"/>
  <c r="G28" i="4" a="1"/>
  <c r="D27" i="4" a="1"/>
  <c r="D26" i="4" a="1"/>
  <c r="E30" i="4" a="1"/>
  <c r="E31" i="4" a="1"/>
  <c r="E29" i="4" a="1"/>
  <c r="F29" i="4" a="1"/>
  <c r="F30" i="4" a="1"/>
  <c r="F31" i="4" a="1"/>
  <c r="G30" i="4" a="1"/>
  <c r="G29" i="4" a="1"/>
  <c r="G31" i="4" a="1"/>
  <c r="D26" i="5" a="1"/>
  <c r="D27" i="5" a="1"/>
  <c r="F29" i="5" a="1"/>
  <c r="E31" i="5" a="1"/>
  <c r="G31" i="5" a="1"/>
  <c r="F31" i="5" a="1"/>
  <c r="F30" i="5" a="1"/>
  <c r="E30" i="5" a="1"/>
  <c r="G29" i="5" a="1"/>
  <c r="E28" i="5" a="1"/>
  <c r="F28" i="5" a="1"/>
  <c r="G30" i="5" a="1"/>
  <c r="G28" i="5" a="1"/>
  <c r="E29" i="5" a="1"/>
  <c r="G29" i="1" a="1"/>
  <c r="G30" i="1" a="1"/>
  <c r="G28" i="1" a="1"/>
  <c r="G31" i="1" a="1"/>
  <c r="D26" i="1" a="1"/>
  <c r="E31" i="1" a="1"/>
  <c r="D27" i="1" a="1"/>
  <c r="E28" i="1" a="1"/>
  <c r="E30" i="1" a="1"/>
  <c r="E29" i="1" a="1"/>
  <c r="F30" i="1" a="1"/>
  <c r="F29" i="1" a="1"/>
  <c r="F31" i="1" a="1"/>
  <c r="F28" i="1" a="1"/>
  <c r="E29" i="5" l="1"/>
  <c r="E30" i="5"/>
  <c r="E31" i="5"/>
  <c r="E28" i="5"/>
  <c r="F30" i="5"/>
  <c r="F29" i="5"/>
  <c r="F31" i="5"/>
  <c r="F28" i="5"/>
  <c r="G29" i="5"/>
  <c r="G31" i="5"/>
  <c r="G30" i="5"/>
  <c r="G28" i="5"/>
  <c r="G31" i="1"/>
  <c r="G28" i="1"/>
  <c r="G30" i="1"/>
  <c r="G29" i="1"/>
  <c r="F28" i="1"/>
  <c r="F31" i="1"/>
  <c r="F30" i="1"/>
  <c r="F29" i="1"/>
  <c r="E29" i="1"/>
  <c r="E30" i="1"/>
  <c r="E28" i="1"/>
  <c r="E31" i="1"/>
  <c r="G29" i="6"/>
  <c r="G31" i="6"/>
  <c r="G28" i="6"/>
  <c r="G30" i="6"/>
  <c r="E29" i="6"/>
  <c r="E31" i="6"/>
  <c r="E30" i="6"/>
  <c r="E28" i="6"/>
  <c r="F31" i="6"/>
  <c r="F28" i="6"/>
  <c r="F30" i="6"/>
  <c r="F29" i="6"/>
  <c r="G28" i="4"/>
  <c r="F28" i="4"/>
  <c r="E28" i="4"/>
  <c r="G31" i="4"/>
  <c r="G29" i="4"/>
  <c r="G30" i="4"/>
  <c r="F31" i="4"/>
  <c r="F30" i="4"/>
  <c r="F29" i="4"/>
  <c r="E29" i="4"/>
  <c r="E31" i="4"/>
  <c r="E30" i="4"/>
  <c r="D27" i="6"/>
  <c r="D26" i="6"/>
  <c r="D27" i="5"/>
  <c r="D27" i="1"/>
  <c r="D26" i="1"/>
  <c r="D26" i="5"/>
  <c r="D26" i="4"/>
  <c r="D27" i="4"/>
  <c r="D29" i="6" a="1"/>
  <c r="D28" i="6" a="1"/>
  <c r="D31" i="6" a="1"/>
  <c r="D30" i="6" a="1"/>
  <c r="D29" i="4" a="1"/>
  <c r="D31" i="4" a="1"/>
  <c r="D30" i="4" a="1"/>
  <c r="D28" i="4" a="1"/>
  <c r="D31" i="5" a="1"/>
  <c r="D29" i="5" a="1"/>
  <c r="D28" i="5" a="1"/>
  <c r="D30" i="5" a="1"/>
  <c r="D28" i="1" a="1"/>
  <c r="D29" i="1" a="1"/>
  <c r="D30" i="1" a="1"/>
  <c r="D31" i="1" a="1"/>
  <c r="D28" i="1" l="1"/>
  <c r="D30" i="6"/>
  <c r="D31" i="6"/>
  <c r="D28" i="6"/>
  <c r="D29" i="6"/>
  <c r="D31" i="1"/>
  <c r="D30" i="1"/>
  <c r="D29" i="1"/>
  <c r="D30" i="4"/>
  <c r="D31" i="4"/>
  <c r="D28" i="4"/>
  <c r="D29" i="4"/>
  <c r="D30" i="5"/>
  <c r="D31" i="5"/>
  <c r="D29" i="5"/>
  <c r="D28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<sst xmlns="http://schemas.openxmlformats.org/spreadsheetml/2006/main" count="229" uniqueCount="60">
  <si>
    <t>Test case description</t>
  </si>
  <si>
    <t xml:space="preserve"> </t>
  </si>
  <si>
    <t>Numerology index (μ)</t>
  </si>
  <si>
    <t>Layers (ν)</t>
  </si>
  <si>
    <t>Number of PRBs per user</t>
  </si>
  <si>
    <t>PDSCH symbols per slot</t>
  </si>
  <si>
    <t>PDSCH DMRS symbols per slot</t>
  </si>
  <si>
    <t>max length</t>
  </si>
  <si>
    <t>additional position</t>
  </si>
  <si>
    <t>Modulation order (Qm)</t>
  </si>
  <si>
    <t>Target code rate (R x 1024)</t>
  </si>
  <si>
    <t>Cells</t>
  </si>
  <si>
    <t>Total users</t>
  </si>
  <si>
    <t>Layers per user</t>
  </si>
  <si>
    <t>DL/UL Duplexing</t>
  </si>
  <si>
    <t>FDD</t>
  </si>
  <si>
    <t>TDD pattern</t>
  </si>
  <si>
    <t>N/A</t>
  </si>
  <si>
    <t>Special slot</t>
  </si>
  <si>
    <t>DCI format</t>
  </si>
  <si>
    <t>Radio environment</t>
  </si>
  <si>
    <t>Channel model</t>
  </si>
  <si>
    <t>FF</t>
  </si>
  <si>
    <t>Maximum Doppler shift</t>
  </si>
  <si>
    <t>SNR</t>
  </si>
  <si>
    <t>40dB</t>
  </si>
  <si>
    <t>LDPC parameters</t>
  </si>
  <si>
    <t>Lifting size per user (Z)</t>
  </si>
  <si>
    <t>Transport block size per user</t>
  </si>
  <si>
    <t>Codeblocks per user (C)</t>
  </si>
  <si>
    <t>Parity check nodes</t>
  </si>
  <si>
    <t>TDD</t>
  </si>
  <si>
    <t>RF chains</t>
  </si>
  <si>
    <t>PUSCH symbols per slot</t>
  </si>
  <si>
    <t>PUSCH DMRS symbols per slot</t>
  </si>
  <si>
    <t>Bandwidth (MHz)</t>
  </si>
  <si>
    <t>F14-US-01</t>
  </si>
  <si>
    <t>F14-DS-01</t>
  </si>
  <si>
    <t>F01-US-01</t>
  </si>
  <si>
    <t>F01-DS-01</t>
  </si>
  <si>
    <t>MCS table</t>
  </si>
  <si>
    <t>MCS index</t>
  </si>
  <si>
    <t>F01-DS-39</t>
  </si>
  <si>
    <t>F01-DS-40</t>
  </si>
  <si>
    <t>F01-DS-41</t>
  </si>
  <si>
    <t>F01-AC-06</t>
  </si>
  <si>
    <t>F01-AM-06</t>
  </si>
  <si>
    <t>F01-AE-06</t>
  </si>
  <si>
    <t>F01-US-39</t>
  </si>
  <si>
    <t>F01-US-40</t>
  </si>
  <si>
    <t>F01-US-41</t>
  </si>
  <si>
    <t>F14-DS-39</t>
  </si>
  <si>
    <t>F14-DS-40</t>
  </si>
  <si>
    <t>F14-DS-41</t>
  </si>
  <si>
    <t>F14-AC-04</t>
  </si>
  <si>
    <t>F14-AM-04</t>
  </si>
  <si>
    <t>F14-AE-04</t>
  </si>
  <si>
    <t>F14-US-39</t>
  </si>
  <si>
    <t>F14-US-40</t>
  </si>
  <si>
    <t>F14-US-41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</si>
</sst>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57171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75717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0" fillId="2" borderId="0" xfId="0" applyFont="1" applyFill="1" applyAlignment="1">
      <alignment horizontal="left" indent="1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0" fillId="4" borderId="0" xfId="0" applyFont="1" applyFill="1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ont="1" applyFill="1" applyAlignment="1">
      <alignment horizontal="left" indent="1"/>
    </xf>
    <xf numFmtId="0" fontId="0" fillId="3" borderId="0" xfId="0" applyFill="1" applyAlignment="1">
      <alignment horizontal="right"/>
    </xf>
    <xf numFmtId="0" fontId="0" fillId="0" borderId="0" xfId="0" applyFont="1" applyFill="1" applyAlignment="1">
      <alignment horizontal="right"/>
    </xf>
    <xf numFmtId="0" fontId="0" fillId="4" borderId="0" xfId="0" applyFont="1" applyFill="1" applyAlignment="1">
      <alignment horizontal="left" indent="2"/>
    </xf>
    <xf numFmtId="0" fontId="2" fillId="3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0" fontId="4" fillId="6" borderId="0" xfId="0" applyFont="1" applyFill="1" applyAlignment="1">
      <alignment horizontal="right"/>
    </xf>
    <xf numFmtId="0" fontId="0" fillId="7" borderId="0" xfId="0" applyFont="1" applyFill="1" applyAlignment="1">
      <alignment horizontal="left" indent="1"/>
    </xf>
    <xf numFmtId="0" fontId="5" fillId="8" borderId="0" xfId="0" applyFont="1" applyFill="1" applyAlignment="1">
      <alignment horizontal="right"/>
    </xf>
  </cellXfs>
  <cellStyles count="2">
    <cellStyle name="Normal" xfId="0" builtinId="0"/>
    <cellStyle name="Normal 2" xfId="1" xr:uid="{00000000-0005-0000-0000-00000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G37"/>
  <sheetViews>
    <sheetView zoomScale="130" zoomScaleNormal="130" workbookViewId="0">
      <selection activeCell="Q14" sqref="Q14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7" width="12.6640625" customWidth="1"/>
  </cols>
  <sheetData>
    <row r="2" spans="2:7" x14ac:dyDescent="0.2">
      <c r="B2" s="3" t="s">
        <v>0</v>
      </c>
      <c r="C2" s="7" t="s">
        <v>1</v>
      </c>
      <c r="D2" s="12" t="s">
        <v>39</v>
      </c>
      <c r="E2" s="13" t="s">
        <v>42</v>
      </c>
      <c r="F2" s="13" t="s">
        <v>43</v>
      </c>
      <c r="G2" s="13" t="s">
        <v>44</v>
      </c>
    </row>
    <row r="3" spans="2:7" x14ac:dyDescent="0.2">
      <c r="B3" s="4" t="s">
        <v>35</v>
      </c>
      <c r="C3" s="7"/>
      <c r="D3" s="6">
        <v>20</v>
      </c>
      <c r="E3" s="7">
        <v>20</v>
      </c>
      <c r="F3" s="7">
        <v>20</v>
      </c>
      <c r="G3" s="7">
        <v>20</v>
      </c>
    </row>
    <row r="4" spans="2:7" x14ac:dyDescent="0.2">
      <c r="B4" s="5" t="s">
        <v>2</v>
      </c>
      <c r="C4" s="7"/>
      <c r="D4" s="6">
        <v>0</v>
      </c>
      <c r="E4" s="7">
        <v>0</v>
      </c>
      <c r="F4" s="7">
        <v>0</v>
      </c>
      <c r="G4" s="7">
        <v>0</v>
      </c>
    </row>
    <row r="5" spans="2:7" x14ac:dyDescent="0.2">
      <c r="B5" s="5" t="s">
        <v>32</v>
      </c>
      <c r="D5" s="6">
        <v>4</v>
      </c>
      <c r="E5" s="7">
        <v>4</v>
      </c>
      <c r="F5" s="7">
        <v>4</v>
      </c>
      <c r="G5" s="7">
        <v>4</v>
      </c>
    </row>
    <row r="6" spans="2:7" x14ac:dyDescent="0.2">
      <c r="B6" s="5" t="s">
        <v>3</v>
      </c>
      <c r="C6" s="7"/>
      <c r="D6" s="6">
        <v>4</v>
      </c>
      <c r="E6" s="7">
        <v>4</v>
      </c>
      <c r="F6" s="7">
        <v>4</v>
      </c>
      <c r="G6" s="7">
        <v>2</v>
      </c>
    </row>
    <row r="7" spans="2:7" x14ac:dyDescent="0.2">
      <c r="B7" s="4" t="s">
        <v>4</v>
      </c>
      <c r="C7" s="7"/>
      <c r="D7" s="6">
        <v>106</v>
      </c>
      <c r="E7" s="7">
        <f t="shared" ref="E7:G7" si="0" xml:space="preserve"> 8 * CEILING(E33 *$D$7 * E34 * E35 / 8,1)</f>
        <v>72</v>
      </c>
      <c r="F7" s="7">
        <f t="shared" si="0"/>
        <v>80</v>
      </c>
      <c r="G7" s="7">
        <f t="shared" si="0"/>
        <v>48</v>
      </c>
    </row>
    <row r="8" spans="2:7" x14ac:dyDescent="0.2">
      <c r="B8" s="4" t="s">
        <v>5</v>
      </c>
      <c r="C8" s="7"/>
      <c r="D8" s="6">
        <v>12</v>
      </c>
      <c r="E8" s="7">
        <v>12</v>
      </c>
      <c r="F8" s="7">
        <v>12</v>
      </c>
      <c r="G8" s="7">
        <v>12</v>
      </c>
    </row>
    <row r="9" spans="2:7" x14ac:dyDescent="0.2">
      <c r="B9" s="4" t="s">
        <v>6</v>
      </c>
      <c r="C9" s="7"/>
      <c r="D9" s="6">
        <v>1</v>
      </c>
      <c r="E9" s="7">
        <v>1</v>
      </c>
      <c r="F9" s="7">
        <v>1</v>
      </c>
      <c r="G9" s="7">
        <v>1</v>
      </c>
    </row>
    <row r="10" spans="2:7" x14ac:dyDescent="0.2">
      <c r="B10" s="11" t="s">
        <v>7</v>
      </c>
      <c r="C10" s="7"/>
      <c r="D10" s="6">
        <v>1</v>
      </c>
      <c r="E10" s="7">
        <v>1</v>
      </c>
      <c r="F10" s="7">
        <v>1</v>
      </c>
      <c r="G10" s="7">
        <v>1</v>
      </c>
    </row>
    <row r="11" spans="2:7" x14ac:dyDescent="0.2">
      <c r="B11" s="11" t="s">
        <v>8</v>
      </c>
      <c r="C11" s="7"/>
      <c r="D11" s="6">
        <v>0</v>
      </c>
      <c r="E11" s="7">
        <v>0</v>
      </c>
      <c r="F11" s="7">
        <v>0</v>
      </c>
      <c r="G11" s="7">
        <v>0</v>
      </c>
    </row>
    <row r="12" spans="2:7" x14ac:dyDescent="0.2">
      <c r="B12" s="4" t="s">
        <v>40</v>
      </c>
      <c r="C12" s="7"/>
      <c r="D12" s="6">
        <v>2</v>
      </c>
      <c r="E12">
        <v>2</v>
      </c>
      <c r="F12">
        <v>2</v>
      </c>
      <c r="G12">
        <v>2</v>
      </c>
    </row>
    <row r="13" spans="2:7" x14ac:dyDescent="0.2">
      <c r="B13" s="4" t="s">
        <v>41</v>
      </c>
      <c r="C13" s="7"/>
      <c r="D13" s="6">
        <v>27</v>
      </c>
      <c r="E13">
        <v>24</v>
      </c>
      <c r="F13">
        <v>13</v>
      </c>
      <c r="G13">
        <v>7</v>
      </c>
    </row>
    <row r="14" spans="2:7" x14ac:dyDescent="0.2">
      <c r="B14" s="4" t="s">
        <v>11</v>
      </c>
      <c r="C14" s="7"/>
      <c r="D14" s="6">
        <v>1</v>
      </c>
      <c r="E14" s="7">
        <v>1</v>
      </c>
      <c r="F14" s="7">
        <v>1</v>
      </c>
      <c r="G14" s="7">
        <v>1</v>
      </c>
    </row>
    <row r="15" spans="2:7" x14ac:dyDescent="0.2">
      <c r="B15" s="4" t="s">
        <v>12</v>
      </c>
      <c r="C15" s="7"/>
      <c r="D15" s="6">
        <v>1</v>
      </c>
      <c r="E15" s="7">
        <v>1</v>
      </c>
      <c r="F15" s="7">
        <v>1</v>
      </c>
      <c r="G15" s="7">
        <v>1</v>
      </c>
    </row>
    <row r="16" spans="2:7" x14ac:dyDescent="0.2">
      <c r="B16" s="4" t="s">
        <v>13</v>
      </c>
      <c r="C16" s="7"/>
      <c r="D16" s="6">
        <v>4</v>
      </c>
      <c r="E16" s="7">
        <v>4</v>
      </c>
      <c r="F16" s="7">
        <v>4</v>
      </c>
      <c r="G16" s="7">
        <v>2</v>
      </c>
    </row>
    <row r="17" spans="2:7" x14ac:dyDescent="0.2">
      <c r="B17" s="4" t="s">
        <v>14</v>
      </c>
      <c r="C17" s="7"/>
      <c r="D17" s="6" t="s">
        <v>15</v>
      </c>
      <c r="E17" s="7" t="s">
        <v>15</v>
      </c>
      <c r="F17" s="7" t="s">
        <v>15</v>
      </c>
      <c r="G17" s="7" t="s">
        <v>15</v>
      </c>
    </row>
    <row r="18" spans="2:7" x14ac:dyDescent="0.2">
      <c r="B18" s="11" t="s">
        <v>16</v>
      </c>
      <c r="C18" s="7"/>
      <c r="D18" s="6" t="s">
        <v>17</v>
      </c>
      <c r="E18" s="7" t="s">
        <v>17</v>
      </c>
      <c r="F18" s="7" t="s">
        <v>17</v>
      </c>
      <c r="G18" s="7" t="s">
        <v>17</v>
      </c>
    </row>
    <row r="19" spans="2:7" x14ac:dyDescent="0.2">
      <c r="B19" s="4" t="s">
        <v>18</v>
      </c>
      <c r="C19" s="7"/>
      <c r="D19" s="6" t="s">
        <v>17</v>
      </c>
      <c r="E19" s="7" t="s">
        <v>17</v>
      </c>
      <c r="F19" s="7" t="s">
        <v>17</v>
      </c>
      <c r="G19" s="7" t="s">
        <v>17</v>
      </c>
    </row>
    <row r="20" spans="2:7" x14ac:dyDescent="0.2">
      <c r="B20" s="4" t="s">
        <v>19</v>
      </c>
      <c r="C20" s="7"/>
      <c r="D20" s="6">
        <v>1</v>
      </c>
      <c r="E20" s="7">
        <v>1</v>
      </c>
      <c r="F20" s="7">
        <v>1</v>
      </c>
      <c r="G20" s="7">
        <v>1</v>
      </c>
    </row>
    <row r="21" spans="2:7" x14ac:dyDescent="0.2">
      <c r="B21" s="2" t="s">
        <v>20</v>
      </c>
      <c r="C21" s="7"/>
      <c r="D21" s="9"/>
      <c r="E21" s="14"/>
      <c r="F21" s="14"/>
      <c r="G21" s="9"/>
    </row>
    <row r="22" spans="2:7" x14ac:dyDescent="0.2">
      <c r="B22" s="8" t="s">
        <v>21</v>
      </c>
      <c r="C22" s="7"/>
      <c r="D22" s="6" t="s">
        <v>22</v>
      </c>
      <c r="E22" s="7" t="s">
        <v>22</v>
      </c>
      <c r="F22" s="7" t="s">
        <v>22</v>
      </c>
      <c r="G22" s="7" t="s">
        <v>22</v>
      </c>
    </row>
    <row r="23" spans="2:7" x14ac:dyDescent="0.2">
      <c r="B23" s="8" t="s">
        <v>23</v>
      </c>
      <c r="C23" s="7"/>
      <c r="D23" s="6">
        <v>0</v>
      </c>
      <c r="E23" s="7">
        <v>0</v>
      </c>
      <c r="F23" s="7">
        <v>0</v>
      </c>
      <c r="G23" s="7">
        <v>0</v>
      </c>
    </row>
    <row r="24" spans="2:7" x14ac:dyDescent="0.2">
      <c r="B24" s="8" t="s">
        <v>24</v>
      </c>
      <c r="C24" s="7"/>
      <c r="D24" s="6" t="s">
        <v>25</v>
      </c>
      <c r="E24" s="7" t="s">
        <v>25</v>
      </c>
      <c r="F24" s="7" t="s">
        <v>25</v>
      </c>
      <c r="G24" s="7" t="s">
        <v>25</v>
      </c>
    </row>
    <row r="25" spans="2:7" x14ac:dyDescent="0.2">
      <c r="B25" s="2" t="s">
        <v>26</v>
      </c>
      <c r="C25" s="7"/>
      <c r="D25" s="9"/>
      <c r="E25" s="14"/>
      <c r="F25" s="14"/>
      <c r="G25" s="9"/>
    </row>
    <row r="26" spans="2:7" x14ac:dyDescent="0.2">
      <c r="B26" s="15" t="s">
        <v>9</v>
      </c>
      <c r="C26" s="7"/>
      <c r="D26" s="6" cm="1">
        <f t="array" ref="D26">Comm_MCS_ModOrd(D12,D13)</f>
        <v>8</v>
      </c>
      <c r="E26" s="7" cm="1">
        <f t="array" ref="E26">Comm_MCS_ModOrd(E12,E13)</f>
        <v>8</v>
      </c>
      <c r="F26" s="7" cm="1">
        <f t="array" ref="F26">Comm_MCS_ModOrd(F12,F13)</f>
        <v>6</v>
      </c>
      <c r="G26" s="7" cm="1">
        <f t="array" ref="G26">Comm_MCS_ModOrd(G12,G13)</f>
        <v>4</v>
      </c>
    </row>
    <row r="27" spans="2:7" x14ac:dyDescent="0.2">
      <c r="B27" s="15" t="s">
        <v>10</v>
      </c>
      <c r="C27" s="7"/>
      <c r="D27" s="6" cm="1">
        <f t="array" ref="D27">Comm_MCS_CodeRate(D12,D13)</f>
        <v>948</v>
      </c>
      <c r="E27" s="7" cm="1">
        <f t="array" ref="E27">Comm_MCS_CodeRate(E12,E13)</f>
        <v>841</v>
      </c>
      <c r="F27" s="7" cm="1">
        <f t="array" ref="F27">Comm_MCS_CodeRate(F12,F13)</f>
        <v>567</v>
      </c>
      <c r="G27" s="7" cm="1">
        <f t="array" ref="G27">Comm_MCS_CodeRate(G12,G13)</f>
        <v>490</v>
      </c>
    </row>
    <row r="28" spans="2:7" x14ac:dyDescent="0.2">
      <c r="B28" s="1" t="s">
        <v>27</v>
      </c>
      <c r="C28" s="7"/>
      <c r="D28" s="10" cm="1">
        <f t="array" ref="D28">Comm_Z(D7, D26, D27, D8, D9, D6/D15)</f>
        <v>384</v>
      </c>
      <c r="E28" s="7" cm="1">
        <f t="array" ref="E28">Comm_Z(E7, E26, E27, E8, E9, E6/E15)</f>
        <v>384</v>
      </c>
      <c r="F28" s="7" cm="1">
        <f t="array" ref="F28">Comm_Z(F7, F26, F27, F8, F9, F6/F15)</f>
        <v>384</v>
      </c>
      <c r="G28" s="7" cm="1">
        <f t="array" ref="G28">Comm_Z(G7, G26, G27, G8, G9, G6/G15)</f>
        <v>384</v>
      </c>
    </row>
    <row r="29" spans="2:7" x14ac:dyDescent="0.2">
      <c r="B29" s="1" t="s">
        <v>28</v>
      </c>
      <c r="C29" s="7"/>
      <c r="D29" s="10" cm="1">
        <f t="array" ref="D29">Comm_TBS(D7, D26, D27, D8, D9, D6/D15)</f>
        <v>417976</v>
      </c>
      <c r="E29" s="7" cm="1">
        <f t="array" ref="E29">Comm_TBS(E7, E26, E27, E8, E9, E6/E15)</f>
        <v>250056</v>
      </c>
      <c r="F29" s="7" cm="1">
        <f t="array" ref="F29">Comm_TBS(F7, F26, F27, F8, F9, F6/F15)</f>
        <v>139376</v>
      </c>
      <c r="G29" s="7" cm="1">
        <f t="array" ref="G29">Comm_TBS(G7, G26, G27, G8, G9, G6/G15)</f>
        <v>24072</v>
      </c>
    </row>
    <row r="30" spans="2:7" x14ac:dyDescent="0.2">
      <c r="B30" s="1" t="s">
        <v>29</v>
      </c>
      <c r="C30" s="7"/>
      <c r="D30" s="10" cm="1">
        <f t="array" ref="D30">Comm_CB(D7, D26, D27, D8, D9, D6/D15)</f>
        <v>50</v>
      </c>
      <c r="E30" s="7" cm="1">
        <f t="array" ref="E30">Comm_CB(E7, E26, E27, E8, E9, E6/E15)</f>
        <v>30</v>
      </c>
      <c r="F30" s="7" cm="1">
        <f t="array" ref="F30">Comm_CB(F7, F26, F27, F8, F9, F6/F15)</f>
        <v>17</v>
      </c>
      <c r="G30" s="7" cm="1">
        <f t="array" ref="G30">Comm_CB(G7, G26, G27, G8, G9, G6/G15)</f>
        <v>3</v>
      </c>
    </row>
    <row r="31" spans="2:7" x14ac:dyDescent="0.2">
      <c r="B31" s="1" t="s">
        <v>30</v>
      </c>
      <c r="D31" s="10" cm="1">
        <f t="array" ref="D31">Comm_Parity_Nodes(D7, D26, D27, D8, D9, D6/D15)</f>
        <v>4</v>
      </c>
      <c r="E31" s="7" cm="1">
        <f t="array" ref="E31">Comm_Parity_Nodes(E7, E26, E27, E8, E9, E6/E15)</f>
        <v>7</v>
      </c>
      <c r="F31" s="7" cm="1">
        <f t="array" ref="F31">Comm_Parity_Nodes(F7, F26, F27, F8, F9, F6/F15)</f>
        <v>20</v>
      </c>
      <c r="G31" s="7" cm="1">
        <f t="array" ref="G31">Comm_Parity_Nodes(G7, G26, G27, G8, G9, G6/G15)</f>
        <v>26</v>
      </c>
    </row>
    <row r="33" spans="5:7" x14ac:dyDescent="0.2">
      <c r="E33" s="7">
        <v>6</v>
      </c>
      <c r="F33" s="7">
        <v>6</v>
      </c>
      <c r="G33" s="7">
        <v>6</v>
      </c>
    </row>
    <row r="34" spans="5:7" x14ac:dyDescent="0.2">
      <c r="E34" s="7">
        <v>0.3</v>
      </c>
      <c r="F34" s="7">
        <v>0.3</v>
      </c>
      <c r="G34" s="7">
        <v>0.3</v>
      </c>
    </row>
    <row r="35" spans="5:7" x14ac:dyDescent="0.2">
      <c r="E35" s="7">
        <v>0.35</v>
      </c>
      <c r="F35" s="7">
        <v>0.4</v>
      </c>
      <c r="G35">
        <v>0.25</v>
      </c>
    </row>
    <row r="36" spans="5:7" x14ac:dyDescent="0.2">
      <c r="E36" s="16" t="s">
        <v>45</v>
      </c>
      <c r="F36" s="16" t="s">
        <v>46</v>
      </c>
      <c r="G36" s="16" t="s">
        <v>47</v>
      </c>
    </row>
    <row r="37" spans="5:7" x14ac:dyDescent="0.2">
      <c r="E37" s="7"/>
      <c r="F37" s="7"/>
      <c r="G37" s="7"/>
    </row>
  </sheetData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:G36"/>
  <sheetViews>
    <sheetView zoomScale="130" zoomScaleNormal="130" workbookViewId="0">
      <selection activeCell="K28" sqref="K28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7" width="12.6640625" customWidth="1"/>
  </cols>
  <sheetData>
    <row r="2" spans="2:7" x14ac:dyDescent="0.2">
      <c r="B2" s="3" t="s">
        <v>0</v>
      </c>
      <c r="C2" s="7"/>
      <c r="D2" s="12" t="s">
        <v>38</v>
      </c>
      <c r="E2" s="13" t="s">
        <v>48</v>
      </c>
      <c r="F2" s="13" t="s">
        <v>49</v>
      </c>
      <c r="G2" s="13" t="s">
        <v>50</v>
      </c>
    </row>
    <row r="3" spans="2:7" x14ac:dyDescent="0.2">
      <c r="B3" s="4" t="s">
        <v>35</v>
      </c>
      <c r="C3" s="7"/>
      <c r="D3" s="6">
        <v>20</v>
      </c>
      <c r="E3">
        <v>20</v>
      </c>
      <c r="F3">
        <v>20</v>
      </c>
      <c r="G3">
        <v>20</v>
      </c>
    </row>
    <row r="4" spans="2:7" x14ac:dyDescent="0.2">
      <c r="B4" s="5" t="s">
        <v>2</v>
      </c>
      <c r="C4" s="7"/>
      <c r="D4" s="6">
        <v>0</v>
      </c>
      <c r="E4">
        <v>0</v>
      </c>
      <c r="F4">
        <v>0</v>
      </c>
      <c r="G4">
        <v>0</v>
      </c>
    </row>
    <row r="5" spans="2:7" x14ac:dyDescent="0.2">
      <c r="B5" s="5" t="s">
        <v>32</v>
      </c>
      <c r="D5" s="6">
        <v>4</v>
      </c>
      <c r="E5">
        <v>4</v>
      </c>
      <c r="F5">
        <v>4</v>
      </c>
      <c r="G5">
        <v>4</v>
      </c>
    </row>
    <row r="6" spans="2:7" x14ac:dyDescent="0.2">
      <c r="B6" s="5" t="s">
        <v>3</v>
      </c>
      <c r="C6" s="7"/>
      <c r="D6" s="6">
        <v>1</v>
      </c>
      <c r="E6">
        <v>1</v>
      </c>
      <c r="F6">
        <v>1</v>
      </c>
      <c r="G6">
        <v>1</v>
      </c>
    </row>
    <row r="7" spans="2:7" x14ac:dyDescent="0.2">
      <c r="B7" s="4" t="s">
        <v>4</v>
      </c>
      <c r="C7" s="7"/>
      <c r="D7" s="6">
        <v>104</v>
      </c>
      <c r="E7" s="7">
        <f t="shared" ref="E7:G7" si="0">8 * CEILING(E33 * $D$7 * E34*E35 / 8, 1)</f>
        <v>72</v>
      </c>
      <c r="F7" s="7">
        <f t="shared" si="0"/>
        <v>80</v>
      </c>
      <c r="G7" s="7">
        <f t="shared" si="0"/>
        <v>48</v>
      </c>
    </row>
    <row r="8" spans="2:7" x14ac:dyDescent="0.2">
      <c r="B8" s="4" t="s">
        <v>33</v>
      </c>
      <c r="C8" s="7"/>
      <c r="D8" s="6">
        <v>14</v>
      </c>
      <c r="E8">
        <v>13</v>
      </c>
      <c r="F8">
        <v>13</v>
      </c>
      <c r="G8">
        <v>13</v>
      </c>
    </row>
    <row r="9" spans="2:7" x14ac:dyDescent="0.2">
      <c r="B9" s="4" t="s">
        <v>34</v>
      </c>
      <c r="C9" s="7"/>
      <c r="D9" s="6">
        <v>1</v>
      </c>
      <c r="E9">
        <v>1</v>
      </c>
      <c r="F9">
        <v>1</v>
      </c>
      <c r="G9">
        <v>1</v>
      </c>
    </row>
    <row r="10" spans="2:7" x14ac:dyDescent="0.2">
      <c r="B10" s="11" t="s">
        <v>7</v>
      </c>
      <c r="C10" s="7"/>
      <c r="D10" s="6">
        <v>1</v>
      </c>
      <c r="E10">
        <v>1</v>
      </c>
      <c r="F10">
        <v>1</v>
      </c>
      <c r="G10">
        <v>1</v>
      </c>
    </row>
    <row r="11" spans="2:7" x14ac:dyDescent="0.2">
      <c r="B11" s="11" t="s">
        <v>8</v>
      </c>
      <c r="C11" s="7"/>
      <c r="D11" s="6">
        <v>0</v>
      </c>
      <c r="E11">
        <v>0</v>
      </c>
      <c r="F11">
        <v>0</v>
      </c>
      <c r="G11">
        <v>0</v>
      </c>
    </row>
    <row r="12" spans="2:7" x14ac:dyDescent="0.2">
      <c r="B12" s="4" t="s">
        <v>40</v>
      </c>
      <c r="C12" s="7"/>
      <c r="D12" s="6">
        <v>2</v>
      </c>
      <c r="E12" s="7">
        <v>2</v>
      </c>
      <c r="F12" s="7">
        <v>2</v>
      </c>
      <c r="G12" s="7">
        <v>2</v>
      </c>
    </row>
    <row r="13" spans="2:7" x14ac:dyDescent="0.2">
      <c r="B13" s="4" t="s">
        <v>41</v>
      </c>
      <c r="C13" s="7"/>
      <c r="D13" s="6">
        <v>27</v>
      </c>
      <c r="E13">
        <v>24</v>
      </c>
      <c r="F13">
        <v>13</v>
      </c>
      <c r="G13">
        <v>7</v>
      </c>
    </row>
    <row r="14" spans="2:7" x14ac:dyDescent="0.2">
      <c r="B14" s="4" t="s">
        <v>11</v>
      </c>
      <c r="C14" s="7"/>
      <c r="D14" s="6">
        <v>1</v>
      </c>
      <c r="E14">
        <v>1</v>
      </c>
      <c r="F14">
        <v>1</v>
      </c>
      <c r="G14">
        <v>1</v>
      </c>
    </row>
    <row r="15" spans="2:7" x14ac:dyDescent="0.2">
      <c r="B15" s="4" t="s">
        <v>12</v>
      </c>
      <c r="C15" s="7"/>
      <c r="D15" s="6">
        <v>1</v>
      </c>
      <c r="E15">
        <v>1</v>
      </c>
      <c r="F15">
        <v>1</v>
      </c>
      <c r="G15">
        <v>1</v>
      </c>
    </row>
    <row r="16" spans="2:7" x14ac:dyDescent="0.2">
      <c r="B16" s="4" t="s">
        <v>13</v>
      </c>
      <c r="C16" s="7"/>
      <c r="D16" s="6">
        <v>1</v>
      </c>
      <c r="E16">
        <v>1</v>
      </c>
      <c r="F16">
        <v>1</v>
      </c>
      <c r="G16">
        <v>1</v>
      </c>
    </row>
    <row r="17" spans="2:7" x14ac:dyDescent="0.2">
      <c r="B17" s="4" t="s">
        <v>14</v>
      </c>
      <c r="C17" s="7"/>
      <c r="D17" s="6" t="s">
        <v>15</v>
      </c>
      <c r="E17" s="7" t="s">
        <v>15</v>
      </c>
      <c r="F17" s="7" t="s">
        <v>15</v>
      </c>
      <c r="G17" s="7" t="s">
        <v>15</v>
      </c>
    </row>
    <row r="18" spans="2:7" x14ac:dyDescent="0.2">
      <c r="B18" s="11" t="s">
        <v>16</v>
      </c>
      <c r="C18" s="7"/>
      <c r="D18" s="6" t="s">
        <v>17</v>
      </c>
      <c r="E18" s="7" t="s">
        <v>17</v>
      </c>
      <c r="F18" s="7" t="s">
        <v>17</v>
      </c>
      <c r="G18" s="7" t="s">
        <v>17</v>
      </c>
    </row>
    <row r="19" spans="2:7" x14ac:dyDescent="0.2">
      <c r="B19" s="4" t="s">
        <v>18</v>
      </c>
      <c r="C19" s="7"/>
      <c r="D19" s="6" t="s">
        <v>17</v>
      </c>
      <c r="E19" s="7" t="s">
        <v>17</v>
      </c>
      <c r="F19" s="7" t="s">
        <v>17</v>
      </c>
      <c r="G19" s="7" t="s">
        <v>17</v>
      </c>
    </row>
    <row r="20" spans="2:7" x14ac:dyDescent="0.2">
      <c r="B20" s="4" t="s">
        <v>19</v>
      </c>
      <c r="C20" s="7"/>
      <c r="D20" s="6">
        <v>1</v>
      </c>
      <c r="E20">
        <v>1</v>
      </c>
      <c r="F20">
        <v>1</v>
      </c>
      <c r="G20">
        <v>1</v>
      </c>
    </row>
    <row r="21" spans="2:7" x14ac:dyDescent="0.2">
      <c r="B21" s="2" t="s">
        <v>20</v>
      </c>
      <c r="C21" s="7"/>
      <c r="D21" s="9"/>
      <c r="E21" s="14"/>
      <c r="F21" s="14"/>
      <c r="G21" s="9"/>
    </row>
    <row r="22" spans="2:7" x14ac:dyDescent="0.2">
      <c r="B22" s="8" t="s">
        <v>21</v>
      </c>
      <c r="C22" s="7"/>
      <c r="D22" s="6" t="s">
        <v>22</v>
      </c>
      <c r="E22" s="7" t="s">
        <v>22</v>
      </c>
      <c r="F22" s="7" t="s">
        <v>22</v>
      </c>
      <c r="G22" s="7" t="s">
        <v>22</v>
      </c>
    </row>
    <row r="23" spans="2:7" x14ac:dyDescent="0.2">
      <c r="B23" s="8" t="s">
        <v>23</v>
      </c>
      <c r="C23" s="7"/>
      <c r="D23" s="6">
        <v>0</v>
      </c>
      <c r="E23" s="7">
        <v>0</v>
      </c>
      <c r="F23" s="7">
        <v>0</v>
      </c>
      <c r="G23" s="7">
        <v>0</v>
      </c>
    </row>
    <row r="24" spans="2:7" x14ac:dyDescent="0.2">
      <c r="B24" s="8" t="s">
        <v>24</v>
      </c>
      <c r="C24" s="7"/>
      <c r="D24" s="6" t="s">
        <v>25</v>
      </c>
      <c r="E24" s="7" t="s">
        <v>25</v>
      </c>
      <c r="F24" s="7" t="s">
        <v>25</v>
      </c>
      <c r="G24" s="7" t="s">
        <v>25</v>
      </c>
    </row>
    <row r="25" spans="2:7" x14ac:dyDescent="0.2">
      <c r="B25" s="2" t="s">
        <v>26</v>
      </c>
      <c r="C25" s="7"/>
      <c r="D25" s="9"/>
      <c r="E25" s="14"/>
      <c r="F25" s="14"/>
      <c r="G25" s="9"/>
    </row>
    <row r="26" spans="2:7" x14ac:dyDescent="0.2">
      <c r="B26" s="15" t="s">
        <v>9</v>
      </c>
      <c r="C26" s="7"/>
      <c r="D26" s="6" cm="1">
        <f t="array" ref="D26">Comm_MCS_ModOrd(D12,D13)</f>
        <v>8</v>
      </c>
      <c r="E26" s="7" cm="1">
        <f t="array" ref="E26">Comm_MCS_ModOrd(E12,E13)</f>
        <v>8</v>
      </c>
      <c r="F26" s="7" cm="1">
        <f t="array" ref="F26">Comm_MCS_ModOrd(F12,F13)</f>
        <v>6</v>
      </c>
      <c r="G26" s="7" cm="1">
        <f t="array" ref="G26">Comm_MCS_ModOrd(G12,G13)</f>
        <v>4</v>
      </c>
    </row>
    <row r="27" spans="2:7" x14ac:dyDescent="0.2">
      <c r="B27" s="15" t="s">
        <v>10</v>
      </c>
      <c r="C27" s="7"/>
      <c r="D27" s="6" cm="1">
        <f t="array" ref="D27">Comm_MCS_CodeRate(D12,D13)</f>
        <v>948</v>
      </c>
      <c r="E27" s="7" cm="1">
        <f t="array" ref="E27">Comm_MCS_CodeRate(E12,E13)</f>
        <v>841</v>
      </c>
      <c r="F27" s="7" cm="1">
        <f t="array" ref="F27">Comm_MCS_CodeRate(F12,F13)</f>
        <v>567</v>
      </c>
      <c r="G27" s="7" cm="1">
        <f t="array" ref="G27">Comm_MCS_CodeRate(G12,G13)</f>
        <v>490</v>
      </c>
    </row>
    <row r="28" spans="2:7" x14ac:dyDescent="0.2">
      <c r="B28" s="1" t="s">
        <v>27</v>
      </c>
      <c r="C28" s="7"/>
      <c r="D28" s="10" cm="1">
        <f t="array" ref="D28">Comm_Z(D7, D26, D27, D8, D9, D6/D15)</f>
        <v>384</v>
      </c>
      <c r="E28" s="7" cm="1">
        <f t="array" ref="E28">Comm_Z(E7, E26, E27, E8, E9, E6/E15)</f>
        <v>352</v>
      </c>
      <c r="F28" s="7" cm="1">
        <f t="array" ref="F28">Comm_Z(F7, F26, F27, F8, F9, F6/F15)</f>
        <v>352</v>
      </c>
      <c r="G28" s="7" cm="1">
        <f t="array" ref="G28">Comm_Z(G7, G26, G27, G8, G9, G6/G15)</f>
        <v>320</v>
      </c>
    </row>
    <row r="29" spans="2:7" x14ac:dyDescent="0.2">
      <c r="B29" s="1" t="s">
        <v>28</v>
      </c>
      <c r="C29" s="7"/>
      <c r="D29" s="10" cm="1">
        <f t="array" ref="D29">Comm_TBS(D7, D26, D27, D8, D9, D6/D15)</f>
        <v>120936</v>
      </c>
      <c r="E29" s="7" cm="1">
        <f t="array" ref="E29">Comm_TBS(E7, E26, E27, E8, E9, E6/E15)</f>
        <v>67584</v>
      </c>
      <c r="F29" s="7" cm="1">
        <f t="array" ref="F29">Comm_TBS(F7, F26, F27, F8, F9, F6/F15)</f>
        <v>37896</v>
      </c>
      <c r="G29" s="7" cm="1">
        <f t="array" ref="G29">Comm_TBS(G7, G26, G27, G8, G9, G6/G15)</f>
        <v>13320</v>
      </c>
    </row>
    <row r="30" spans="2:7" x14ac:dyDescent="0.2">
      <c r="B30" s="1" t="s">
        <v>29</v>
      </c>
      <c r="C30" s="7"/>
      <c r="D30" s="10" cm="1">
        <f t="array" ref="D30">Comm_CB(D7, D26, D27, D8, D9, D6/D15)</f>
        <v>15</v>
      </c>
      <c r="E30" s="7" cm="1">
        <f t="array" ref="E30">Comm_CB(E7, E26, E27, E8, E9, E6/E15)</f>
        <v>9</v>
      </c>
      <c r="F30" s="7" cm="1">
        <f t="array" ref="F30">Comm_CB(F7, F26, F27, F8, F9, F6/F15)</f>
        <v>5</v>
      </c>
      <c r="G30" s="7" cm="1">
        <f t="array" ref="G30">Comm_CB(G7, G26, G27, G8, G9, G6/G15)</f>
        <v>2</v>
      </c>
    </row>
    <row r="31" spans="2:7" x14ac:dyDescent="0.2">
      <c r="B31" s="1" t="s">
        <v>30</v>
      </c>
      <c r="D31" s="10" cm="1">
        <f t="array" ref="D31">Comm_Parity_Nodes(D7, D26, D27, D8, D9, D6/D15)</f>
        <v>4</v>
      </c>
      <c r="E31" s="7" cm="1">
        <f t="array" ref="E31">Comm_Parity_Nodes(E7, E26, E27, E8, E9, E6/E15)</f>
        <v>7</v>
      </c>
      <c r="F31" s="7" cm="1">
        <f t="array" ref="F31">Comm_Parity_Nodes(F7, F26, F27, F8, F9, F6/F15)</f>
        <v>20</v>
      </c>
      <c r="G31" s="7" cm="1">
        <f t="array" ref="G31">Comm_Parity_Nodes(G7, G26, G27, G8, G9, G6/G15)</f>
        <v>25</v>
      </c>
    </row>
    <row r="33" spans="5:7" x14ac:dyDescent="0.2">
      <c r="E33" s="7">
        <v>6</v>
      </c>
      <c r="F33" s="7">
        <v>6</v>
      </c>
      <c r="G33" s="7">
        <v>6</v>
      </c>
    </row>
    <row r="34" spans="5:7" x14ac:dyDescent="0.2">
      <c r="E34" s="7">
        <v>0.3</v>
      </c>
      <c r="F34" s="7">
        <v>0.3</v>
      </c>
      <c r="G34" s="7">
        <v>0.3</v>
      </c>
    </row>
    <row r="35" spans="5:7" x14ac:dyDescent="0.2">
      <c r="E35" s="7">
        <v>0.35</v>
      </c>
      <c r="F35" s="7">
        <v>0.4</v>
      </c>
      <c r="G35">
        <v>0.25</v>
      </c>
    </row>
    <row r="36" spans="5:7" x14ac:dyDescent="0.2">
      <c r="E36" s="16" t="s">
        <v>45</v>
      </c>
      <c r="F36" s="16" t="s">
        <v>46</v>
      </c>
      <c r="G36" s="16" t="s">
        <v>47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G36"/>
  <sheetViews>
    <sheetView tabSelected="1" zoomScale="130" zoomScaleNormal="130" workbookViewId="0">
      <selection activeCell="G9" sqref="G9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7" width="12.6640625" style="7" customWidth="1"/>
  </cols>
  <sheetData>
    <row r="1" spans="2:7" x14ac:dyDescent="0.2">
      <c r="E1"/>
      <c r="F1"/>
      <c r="G1"/>
    </row>
    <row r="2" spans="2:7" x14ac:dyDescent="0.2">
      <c r="B2" s="3" t="s">
        <v>0</v>
      </c>
      <c r="D2" s="13" t="s">
        <v>37</v>
      </c>
      <c r="E2" s="13" t="s">
        <v>51</v>
      </c>
      <c r="F2" s="13" t="s">
        <v>52</v>
      </c>
      <c r="G2" s="13" t="s">
        <v>53</v>
      </c>
    </row>
    <row r="3" spans="2:7" x14ac:dyDescent="0.2">
      <c r="B3" s="4" t="s">
        <v>35</v>
      </c>
      <c r="D3" s="7">
        <v>100</v>
      </c>
      <c r="E3">
        <v>100</v>
      </c>
      <c r="F3">
        <v>100</v>
      </c>
      <c r="G3">
        <v>100</v>
      </c>
    </row>
    <row r="4" spans="2:7" x14ac:dyDescent="0.2">
      <c r="B4" s="5" t="s">
        <v>2</v>
      </c>
      <c r="D4" s="7">
        <v>1</v>
      </c>
      <c r="E4">
        <v>1</v>
      </c>
      <c r="F4">
        <v>1</v>
      </c>
      <c r="G4">
        <v>1</v>
      </c>
    </row>
    <row r="5" spans="2:7" x14ac:dyDescent="0.2">
      <c r="B5" s="5" t="s">
        <v>32</v>
      </c>
      <c r="D5" s="7">
        <v>16</v>
      </c>
      <c r="E5">
        <v>16</v>
      </c>
      <c r="F5">
        <v>16</v>
      </c>
      <c r="G5">
        <v>16</v>
      </c>
    </row>
    <row r="6" spans="2:7" x14ac:dyDescent="0.2">
      <c r="B6" s="5" t="s">
        <v>3</v>
      </c>
      <c r="D6" s="7">
        <v>16</v>
      </c>
      <c r="E6">
        <v>16</v>
      </c>
      <c r="F6">
        <v>4</v>
      </c>
      <c r="G6">
        <v>2</v>
      </c>
    </row>
    <row r="7" spans="2:7" x14ac:dyDescent="0.2">
      <c r="B7" s="4" t="s">
        <v>4</v>
      </c>
      <c r="D7" s="7">
        <v>273</v>
      </c>
      <c r="E7">
        <f t="shared" ref="E7:G7" si="0" xml:space="preserve"> 8 * CEILING(E33 * $D$7 * E34 * E35 / 8, 1)</f>
        <v>120</v>
      </c>
      <c r="F7">
        <f t="shared" si="0"/>
        <v>136</v>
      </c>
      <c r="G7">
        <f t="shared" si="0"/>
        <v>88</v>
      </c>
    </row>
    <row r="8" spans="2:7" x14ac:dyDescent="0.2">
      <c r="B8" s="4" t="s">
        <v>5</v>
      </c>
      <c r="D8" s="7">
        <v>13</v>
      </c>
      <c r="E8">
        <v>13</v>
      </c>
      <c r="F8">
        <v>13</v>
      </c>
      <c r="G8">
        <v>13</v>
      </c>
    </row>
    <row r="9" spans="2:7" x14ac:dyDescent="0.2">
      <c r="B9" s="4" t="s">
        <v>6</v>
      </c>
      <c r="D9" s="7">
        <v>2</v>
      </c>
      <c r="E9">
        <v>2</v>
      </c>
      <c r="F9">
        <v>2</v>
      </c>
      <c r="G9">
        <v>2</v>
      </c>
    </row>
    <row r="10" spans="2:7" x14ac:dyDescent="0.2">
      <c r="B10" s="11" t="s">
        <v>7</v>
      </c>
      <c r="D10" s="7">
        <v>2</v>
      </c>
      <c r="E10">
        <v>2</v>
      </c>
      <c r="F10">
        <v>2</v>
      </c>
      <c r="G10">
        <v>2</v>
      </c>
    </row>
    <row r="11" spans="2:7" x14ac:dyDescent="0.2">
      <c r="B11" s="11" t="s">
        <v>8</v>
      </c>
      <c r="D11" s="7">
        <v>0</v>
      </c>
      <c r="E11">
        <v>0</v>
      </c>
      <c r="F11">
        <v>0</v>
      </c>
      <c r="G11">
        <v>0</v>
      </c>
    </row>
    <row r="12" spans="2:7" x14ac:dyDescent="0.2">
      <c r="B12" s="4" t="s">
        <v>40</v>
      </c>
      <c r="C12" s="7"/>
      <c r="D12" s="7">
        <v>2</v>
      </c>
      <c r="E12">
        <v>2</v>
      </c>
      <c r="F12">
        <v>2</v>
      </c>
      <c r="G12">
        <v>2</v>
      </c>
    </row>
    <row r="13" spans="2:7" x14ac:dyDescent="0.2">
      <c r="B13" s="4" t="s">
        <v>41</v>
      </c>
      <c r="C13" s="7"/>
      <c r="D13" s="7">
        <v>27</v>
      </c>
      <c r="E13">
        <v>24</v>
      </c>
      <c r="F13">
        <v>13</v>
      </c>
      <c r="G13">
        <v>7</v>
      </c>
    </row>
    <row r="14" spans="2:7" x14ac:dyDescent="0.2">
      <c r="B14" s="4" t="s">
        <v>11</v>
      </c>
      <c r="D14" s="7">
        <v>1</v>
      </c>
      <c r="E14">
        <v>1</v>
      </c>
      <c r="F14">
        <v>1</v>
      </c>
      <c r="G14">
        <v>1</v>
      </c>
    </row>
    <row r="15" spans="2:7" x14ac:dyDescent="0.2">
      <c r="B15" s="4" t="s">
        <v>12</v>
      </c>
      <c r="D15" s="7">
        <v>4</v>
      </c>
      <c r="E15">
        <v>4</v>
      </c>
      <c r="F15">
        <v>2</v>
      </c>
      <c r="G15">
        <v>2</v>
      </c>
    </row>
    <row r="16" spans="2:7" x14ac:dyDescent="0.2">
      <c r="B16" s="4" t="s">
        <v>13</v>
      </c>
      <c r="D16" s="7">
        <v>4</v>
      </c>
      <c r="E16">
        <v>4</v>
      </c>
      <c r="F16">
        <v>2</v>
      </c>
      <c r="G16">
        <v>1</v>
      </c>
    </row>
    <row r="17" spans="2:7" x14ac:dyDescent="0.2">
      <c r="B17" s="4" t="s">
        <v>14</v>
      </c>
      <c r="D17" s="6" t="s">
        <v>31</v>
      </c>
      <c r="E17" s="7" t="s">
        <v>31</v>
      </c>
      <c r="F17" s="7" t="s">
        <v>31</v>
      </c>
      <c r="G17" s="7" t="s">
        <v>31</v>
      </c>
    </row>
    <row r="18" spans="2:7" x14ac:dyDescent="0.2">
      <c r="B18" s="11" t="s">
        <v>16</v>
      </c>
      <c r="D18" s="6" t="s">
        <v>17</v>
      </c>
      <c r="E18" s="7" t="s">
        <v>17</v>
      </c>
      <c r="F18" s="7" t="s">
        <v>17</v>
      </c>
      <c r="G18" s="7" t="s">
        <v>17</v>
      </c>
    </row>
    <row r="19" spans="2:7" x14ac:dyDescent="0.2">
      <c r="B19" s="4" t="s">
        <v>18</v>
      </c>
      <c r="D19" s="6" t="s">
        <v>17</v>
      </c>
      <c r="E19" s="7" t="s">
        <v>17</v>
      </c>
      <c r="F19" s="7" t="s">
        <v>17</v>
      </c>
      <c r="G19" s="7" t="s">
        <v>17</v>
      </c>
    </row>
    <row r="20" spans="2:7" x14ac:dyDescent="0.2">
      <c r="B20" s="4" t="s">
        <v>19</v>
      </c>
      <c r="D20" s="6">
        <v>1</v>
      </c>
      <c r="E20">
        <v>1</v>
      </c>
      <c r="F20">
        <v>1</v>
      </c>
      <c r="G20">
        <v>1</v>
      </c>
    </row>
    <row r="21" spans="2:7" x14ac:dyDescent="0.2">
      <c r="B21" s="2" t="s">
        <v>20</v>
      </c>
      <c r="D21" s="9"/>
      <c r="E21" s="9"/>
      <c r="F21" s="9"/>
      <c r="G21" s="9"/>
    </row>
    <row r="22" spans="2:7" x14ac:dyDescent="0.2">
      <c r="B22" s="8" t="s">
        <v>21</v>
      </c>
      <c r="D22" s="6" t="s">
        <v>22</v>
      </c>
      <c r="E22" s="7" t="s">
        <v>22</v>
      </c>
      <c r="F22" s="7" t="s">
        <v>22</v>
      </c>
      <c r="G22" s="7" t="s">
        <v>22</v>
      </c>
    </row>
    <row r="23" spans="2:7" x14ac:dyDescent="0.2">
      <c r="B23" s="8" t="s">
        <v>23</v>
      </c>
      <c r="D23" s="6">
        <v>0</v>
      </c>
      <c r="E23" s="7">
        <v>0</v>
      </c>
      <c r="F23" s="7">
        <v>0</v>
      </c>
      <c r="G23" s="7">
        <v>0</v>
      </c>
    </row>
    <row r="24" spans="2:7" x14ac:dyDescent="0.2">
      <c r="B24" s="8" t="s">
        <v>24</v>
      </c>
      <c r="D24" s="6" t="s">
        <v>25</v>
      </c>
      <c r="E24" s="7" t="s">
        <v>25</v>
      </c>
      <c r="F24" s="7" t="s">
        <v>25</v>
      </c>
      <c r="G24" s="7" t="s">
        <v>25</v>
      </c>
    </row>
    <row r="25" spans="2:7" x14ac:dyDescent="0.2">
      <c r="B25" s="2" t="s">
        <v>26</v>
      </c>
      <c r="D25" s="9"/>
      <c r="E25" s="9"/>
      <c r="F25" s="9"/>
      <c r="G25" s="9"/>
    </row>
    <row r="26" spans="2:7" x14ac:dyDescent="0.2">
      <c r="B26" s="15" t="s">
        <v>9</v>
      </c>
      <c r="D26" cm="1">
        <f t="array" ref="D26">Comm_MCS_ModOrd(D12,D13)</f>
        <v>8</v>
      </c>
      <c r="E26" s="7" cm="1">
        <f t="array" ref="E26">Comm_MCS_ModOrd(E12,E13)</f>
        <v>8</v>
      </c>
      <c r="F26" s="7" cm="1">
        <f t="array" ref="F26">Comm_MCS_ModOrd(F12,F13)</f>
        <v>6</v>
      </c>
      <c r="G26" s="7" cm="1">
        <f t="array" ref="G26">Comm_MCS_ModOrd(G12,G13)</f>
        <v>4</v>
      </c>
    </row>
    <row r="27" spans="2:7" x14ac:dyDescent="0.2">
      <c r="B27" s="15" t="s">
        <v>10</v>
      </c>
      <c r="D27" cm="1">
        <f t="array" ref="D27">Comm_MCS_CodeRate(D12,D13)</f>
        <v>948</v>
      </c>
      <c r="E27" s="7" cm="1">
        <f t="array" ref="E27">Comm_MCS_CodeRate(E12,E13)</f>
        <v>841</v>
      </c>
      <c r="F27" s="7" cm="1">
        <f t="array" ref="F27">Comm_MCS_CodeRate(F12,F13)</f>
        <v>567</v>
      </c>
      <c r="G27" s="7" cm="1">
        <f t="array" ref="G27">Comm_MCS_CodeRate(G12,G13)</f>
        <v>490</v>
      </c>
    </row>
    <row r="28" spans="2:7" x14ac:dyDescent="0.2">
      <c r="B28" s="1" t="s">
        <v>27</v>
      </c>
      <c r="D28" s="10" cm="1">
        <f t="array" ref="D28">Comm_Z(D7, D26, D27, D8, D9, D6/D15)</f>
        <v>384</v>
      </c>
      <c r="E28" s="7" cm="1">
        <f t="array" ref="E28">Comm_Z(E7, E26, E27, E8, E9, E6/E15)</f>
        <v>384</v>
      </c>
      <c r="F28" s="7" cm="1">
        <f t="array" ref="F28">Comm_Z(F7, F26, F27, F8, F9, F6/F15)</f>
        <v>384</v>
      </c>
      <c r="G28" s="7" cm="1">
        <f t="array" ref="G28">Comm_Z(G7, G26, G27, G8, G9, G6/G15)</f>
        <v>352</v>
      </c>
    </row>
    <row r="29" spans="2:7" x14ac:dyDescent="0.2">
      <c r="B29" s="1" t="s">
        <v>28</v>
      </c>
      <c r="D29" s="10" cm="1">
        <f t="array" ref="D29">Comm_TBS(D7, D26, D27, D8, D9, D6/D15)</f>
        <v>1081512</v>
      </c>
      <c r="E29" s="7" cm="1">
        <f t="array" ref="E29">Comm_TBS(E7, E26, E27, E8, E9, E6/E15)</f>
        <v>417976</v>
      </c>
      <c r="F29" s="7" cm="1">
        <f t="array" ref="F29">Comm_TBS(F7, F26, F27, F8, F9, F6/F15)</f>
        <v>118896</v>
      </c>
      <c r="G29" s="7" cm="1">
        <f t="array" ref="G29">Comm_TBS(G7, G26, G27, G8, G9, G6/G15)</f>
        <v>22032</v>
      </c>
    </row>
    <row r="30" spans="2:7" x14ac:dyDescent="0.2">
      <c r="B30" s="1" t="s">
        <v>29</v>
      </c>
      <c r="D30" s="10" cm="1">
        <f t="array" ref="D30">Comm_CB(D7, D26, D27, D8, D9, D6/D15)</f>
        <v>129</v>
      </c>
      <c r="E30" s="7" cm="1">
        <f t="array" ref="E30">Comm_CB(E7, E26, E27, E8, E9, E6/E15)</f>
        <v>50</v>
      </c>
      <c r="F30" s="7" cm="1">
        <f t="array" ref="F30">Comm_CB(F7, F26, F27, F8, F9, F6/F15)</f>
        <v>15</v>
      </c>
      <c r="G30" s="7" cm="1">
        <f t="array" ref="G30">Comm_CB(G7, G26, G27, G8, G9, G6/G15)</f>
        <v>3</v>
      </c>
    </row>
    <row r="31" spans="2:7" x14ac:dyDescent="0.2">
      <c r="B31" s="1" t="s">
        <v>30</v>
      </c>
      <c r="D31" s="10" cm="1">
        <f t="array" ref="D31">Comm_Parity_Nodes(D7, D26, D27, D8, D9, D6/D15)</f>
        <v>4</v>
      </c>
      <c r="E31" s="7" cm="1">
        <f t="array" ref="E31">Comm_Parity_Nodes(E7, E26, E27, E8, E9, E6/E15)</f>
        <v>7</v>
      </c>
      <c r="F31" s="7" cm="1">
        <f t="array" ref="F31">Comm_Parity_Nodes(F7, F26, F27, F8, F9, F6/F15)</f>
        <v>19</v>
      </c>
      <c r="G31" s="7" cm="1">
        <f t="array" ref="G31">Comm_Parity_Nodes(G7, G26, G27, G8, G9, G6/G15)</f>
        <v>26</v>
      </c>
    </row>
    <row r="33" spans="5:7" x14ac:dyDescent="0.2">
      <c r="E33" s="7">
        <v>4</v>
      </c>
      <c r="F33" s="7">
        <v>4</v>
      </c>
      <c r="G33" s="7">
        <v>4</v>
      </c>
    </row>
    <row r="34" spans="5:7" x14ac:dyDescent="0.2">
      <c r="E34" s="7">
        <v>0.3</v>
      </c>
      <c r="F34" s="7">
        <v>0.3</v>
      </c>
      <c r="G34" s="7">
        <v>0.3</v>
      </c>
    </row>
    <row r="35" spans="5:7" x14ac:dyDescent="0.2">
      <c r="E35" s="7">
        <v>0.35</v>
      </c>
      <c r="F35" s="7">
        <v>0.4</v>
      </c>
      <c r="G35">
        <v>0.25</v>
      </c>
    </row>
    <row r="36" spans="5:7" x14ac:dyDescent="0.2">
      <c r="E36" s="16" t="s">
        <v>54</v>
      </c>
      <c r="F36" s="16" t="s">
        <v>55</v>
      </c>
      <c r="G36" s="16" t="s">
        <v>56</v>
      </c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G36"/>
  <sheetViews>
    <sheetView zoomScale="130" zoomScaleNormal="130" workbookViewId="0">
      <selection activeCell="K17" sqref="K17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7" width="12.6640625" style="7" customWidth="1"/>
  </cols>
  <sheetData>
    <row r="1" spans="2:7" x14ac:dyDescent="0.2">
      <c r="E1"/>
      <c r="F1"/>
      <c r="G1"/>
    </row>
    <row r="2" spans="2:7" x14ac:dyDescent="0.2">
      <c r="B2" s="3" t="s">
        <v>0</v>
      </c>
      <c r="D2" s="12" t="s">
        <v>36</v>
      </c>
      <c r="E2" s="13" t="s">
        <v>57</v>
      </c>
      <c r="F2" s="13" t="s">
        <v>58</v>
      </c>
      <c r="G2" s="13" t="s">
        <v>59</v>
      </c>
    </row>
    <row r="3" spans="2:7" x14ac:dyDescent="0.2">
      <c r="B3" s="4" t="s">
        <v>35</v>
      </c>
      <c r="D3" s="7">
        <v>100</v>
      </c>
      <c r="E3">
        <v>100</v>
      </c>
      <c r="F3">
        <v>100</v>
      </c>
      <c r="G3">
        <v>100</v>
      </c>
    </row>
    <row r="4" spans="2:7" x14ac:dyDescent="0.2">
      <c r="B4" s="5" t="s">
        <v>2</v>
      </c>
      <c r="D4" s="7">
        <v>1</v>
      </c>
      <c r="E4">
        <v>1</v>
      </c>
      <c r="F4">
        <v>1</v>
      </c>
      <c r="G4">
        <v>1</v>
      </c>
    </row>
    <row r="5" spans="2:7" x14ac:dyDescent="0.2">
      <c r="B5" s="5" t="s">
        <v>32</v>
      </c>
      <c r="D5" s="7">
        <v>16</v>
      </c>
      <c r="E5">
        <v>16</v>
      </c>
      <c r="F5">
        <v>16</v>
      </c>
      <c r="G5">
        <v>16</v>
      </c>
    </row>
    <row r="6" spans="2:7" x14ac:dyDescent="0.2">
      <c r="B6" s="5" t="s">
        <v>3</v>
      </c>
      <c r="D6" s="7">
        <v>8</v>
      </c>
      <c r="E6">
        <v>8</v>
      </c>
      <c r="F6">
        <v>2</v>
      </c>
      <c r="G6">
        <v>1</v>
      </c>
    </row>
    <row r="7" spans="2:7" x14ac:dyDescent="0.2">
      <c r="B7" s="4" t="s">
        <v>4</v>
      </c>
      <c r="D7" s="7">
        <v>272</v>
      </c>
      <c r="E7">
        <f t="shared" ref="E7:G7" si="0">8 * CEILING(E33 * $D$7 * E34 *E35 / 8,1)</f>
        <v>120</v>
      </c>
      <c r="F7">
        <f t="shared" si="0"/>
        <v>136</v>
      </c>
      <c r="G7">
        <f t="shared" si="0"/>
        <v>88</v>
      </c>
    </row>
    <row r="8" spans="2:7" x14ac:dyDescent="0.2">
      <c r="B8" s="4" t="s">
        <v>33</v>
      </c>
      <c r="D8" s="7">
        <v>14</v>
      </c>
      <c r="E8">
        <v>14</v>
      </c>
      <c r="F8">
        <v>14</v>
      </c>
      <c r="G8">
        <v>14</v>
      </c>
    </row>
    <row r="9" spans="2:7" x14ac:dyDescent="0.2">
      <c r="B9" s="4" t="s">
        <v>34</v>
      </c>
      <c r="D9" s="7">
        <v>2</v>
      </c>
      <c r="E9">
        <v>2</v>
      </c>
      <c r="F9">
        <v>2</v>
      </c>
      <c r="G9">
        <v>2</v>
      </c>
    </row>
    <row r="10" spans="2:7" x14ac:dyDescent="0.2">
      <c r="B10" s="11" t="s">
        <v>7</v>
      </c>
      <c r="D10" s="7">
        <v>2</v>
      </c>
      <c r="E10">
        <v>2</v>
      </c>
      <c r="F10">
        <v>2</v>
      </c>
      <c r="G10">
        <v>2</v>
      </c>
    </row>
    <row r="11" spans="2:7" x14ac:dyDescent="0.2">
      <c r="B11" s="11" t="s">
        <v>8</v>
      </c>
      <c r="D11" s="7">
        <v>0</v>
      </c>
      <c r="E11">
        <v>0</v>
      </c>
      <c r="F11">
        <v>0</v>
      </c>
      <c r="G11">
        <v>0</v>
      </c>
    </row>
    <row r="12" spans="2:7" x14ac:dyDescent="0.2">
      <c r="B12" s="4" t="s">
        <v>40</v>
      </c>
      <c r="C12" s="7"/>
      <c r="D12" s="7">
        <v>2</v>
      </c>
      <c r="E12">
        <v>2</v>
      </c>
      <c r="F12">
        <v>2</v>
      </c>
      <c r="G12">
        <v>2</v>
      </c>
    </row>
    <row r="13" spans="2:7" x14ac:dyDescent="0.2">
      <c r="B13" s="4" t="s">
        <v>41</v>
      </c>
      <c r="C13" s="7"/>
      <c r="D13" s="7">
        <v>27</v>
      </c>
      <c r="E13">
        <v>24</v>
      </c>
      <c r="F13">
        <v>13</v>
      </c>
      <c r="G13">
        <v>7</v>
      </c>
    </row>
    <row r="14" spans="2:7" x14ac:dyDescent="0.2">
      <c r="B14" s="4" t="s">
        <v>11</v>
      </c>
      <c r="D14" s="7">
        <v>1</v>
      </c>
      <c r="E14">
        <v>1</v>
      </c>
      <c r="F14">
        <v>1</v>
      </c>
      <c r="G14">
        <v>1</v>
      </c>
    </row>
    <row r="15" spans="2:7" x14ac:dyDescent="0.2">
      <c r="B15" s="4" t="s">
        <v>12</v>
      </c>
      <c r="D15" s="7">
        <v>2</v>
      </c>
      <c r="E15">
        <v>2</v>
      </c>
      <c r="F15">
        <v>2</v>
      </c>
      <c r="G15">
        <v>1</v>
      </c>
    </row>
    <row r="16" spans="2:7" x14ac:dyDescent="0.2">
      <c r="B16" s="4" t="s">
        <v>13</v>
      </c>
      <c r="D16" s="7">
        <v>4</v>
      </c>
      <c r="E16">
        <v>4</v>
      </c>
      <c r="F16">
        <v>1</v>
      </c>
      <c r="G16">
        <v>1</v>
      </c>
    </row>
    <row r="17" spans="2:7" x14ac:dyDescent="0.2">
      <c r="B17" s="4" t="s">
        <v>14</v>
      </c>
      <c r="D17" s="6" t="s">
        <v>31</v>
      </c>
      <c r="E17" s="7" t="s">
        <v>31</v>
      </c>
      <c r="F17" s="7" t="s">
        <v>31</v>
      </c>
      <c r="G17" s="7" t="s">
        <v>31</v>
      </c>
    </row>
    <row r="18" spans="2:7" x14ac:dyDescent="0.2">
      <c r="B18" s="11" t="s">
        <v>16</v>
      </c>
      <c r="D18" s="6" t="s">
        <v>17</v>
      </c>
      <c r="E18" s="7" t="s">
        <v>17</v>
      </c>
      <c r="F18" s="7" t="s">
        <v>17</v>
      </c>
      <c r="G18" s="7" t="s">
        <v>17</v>
      </c>
    </row>
    <row r="19" spans="2:7" x14ac:dyDescent="0.2">
      <c r="B19" s="4" t="s">
        <v>18</v>
      </c>
      <c r="D19" s="6" t="s">
        <v>17</v>
      </c>
      <c r="E19" s="7" t="s">
        <v>17</v>
      </c>
      <c r="F19" s="7" t="s">
        <v>17</v>
      </c>
      <c r="G19" s="7" t="s">
        <v>17</v>
      </c>
    </row>
    <row r="20" spans="2:7" x14ac:dyDescent="0.2">
      <c r="B20" s="4" t="s">
        <v>19</v>
      </c>
      <c r="D20" s="6">
        <v>1</v>
      </c>
      <c r="E20">
        <v>1</v>
      </c>
      <c r="F20">
        <v>1</v>
      </c>
      <c r="G20">
        <v>1</v>
      </c>
    </row>
    <row r="21" spans="2:7" x14ac:dyDescent="0.2">
      <c r="B21" s="2" t="s">
        <v>20</v>
      </c>
      <c r="D21" s="9"/>
      <c r="E21" s="9"/>
      <c r="F21" s="14"/>
      <c r="G21" s="14"/>
    </row>
    <row r="22" spans="2:7" x14ac:dyDescent="0.2">
      <c r="B22" s="8" t="s">
        <v>21</v>
      </c>
      <c r="D22" s="6" t="s">
        <v>22</v>
      </c>
      <c r="E22" s="7" t="s">
        <v>22</v>
      </c>
      <c r="F22" s="7" t="s">
        <v>22</v>
      </c>
      <c r="G22" s="7" t="s">
        <v>22</v>
      </c>
    </row>
    <row r="23" spans="2:7" x14ac:dyDescent="0.2">
      <c r="B23" s="8" t="s">
        <v>23</v>
      </c>
      <c r="D23" s="6">
        <v>0</v>
      </c>
      <c r="E23" s="7">
        <v>0</v>
      </c>
      <c r="F23" s="7">
        <v>0</v>
      </c>
      <c r="G23" s="7">
        <v>0</v>
      </c>
    </row>
    <row r="24" spans="2:7" x14ac:dyDescent="0.2">
      <c r="B24" s="8" t="s">
        <v>24</v>
      </c>
      <c r="D24" s="6" t="s">
        <v>25</v>
      </c>
      <c r="E24" s="7" t="s">
        <v>25</v>
      </c>
      <c r="F24" s="7" t="s">
        <v>25</v>
      </c>
      <c r="G24" s="7" t="s">
        <v>25</v>
      </c>
    </row>
    <row r="25" spans="2:7" x14ac:dyDescent="0.2">
      <c r="B25" s="2" t="s">
        <v>26</v>
      </c>
      <c r="D25" s="9"/>
      <c r="E25" s="9"/>
      <c r="F25" s="14"/>
      <c r="G25" s="14"/>
    </row>
    <row r="26" spans="2:7" x14ac:dyDescent="0.2">
      <c r="B26" s="15" t="s">
        <v>9</v>
      </c>
      <c r="D26" cm="1">
        <f t="array" ref="D26">Comm_MCS_ModOrd(D12,D13)</f>
        <v>8</v>
      </c>
      <c r="E26" s="7" cm="1">
        <f t="array" ref="E26">Comm_MCS_ModOrd(E12,E13)</f>
        <v>8</v>
      </c>
      <c r="F26" s="7" cm="1">
        <f t="array" ref="F26">Comm_MCS_ModOrd(F12,F13)</f>
        <v>6</v>
      </c>
      <c r="G26" s="7" cm="1">
        <f t="array" ref="G26">Comm_MCS_ModOrd(G12,G13)</f>
        <v>4</v>
      </c>
    </row>
    <row r="27" spans="2:7" x14ac:dyDescent="0.2">
      <c r="B27" s="15" t="s">
        <v>10</v>
      </c>
      <c r="D27" cm="1">
        <f t="array" ref="D27">Comm_MCS_CodeRate(D12,D13)</f>
        <v>948</v>
      </c>
      <c r="E27" s="7" cm="1">
        <f t="array" ref="E27">Comm_MCS_CodeRate(E12,E13)</f>
        <v>841</v>
      </c>
      <c r="F27" s="7" cm="1">
        <f t="array" ref="F27">Comm_MCS_CodeRate(F12,F13)</f>
        <v>567</v>
      </c>
      <c r="G27" s="7" cm="1">
        <f t="array" ref="G27">Comm_MCS_CodeRate(G12,G13)</f>
        <v>490</v>
      </c>
    </row>
    <row r="28" spans="2:7" x14ac:dyDescent="0.2">
      <c r="B28" s="1" t="s">
        <v>27</v>
      </c>
      <c r="D28" s="10" cm="1">
        <f t="array" ref="D28">Comm_Z(D7, D26, D27, D8, D9, D6/D15)</f>
        <v>384</v>
      </c>
      <c r="E28" s="7" cm="1">
        <f t="array" ref="E28">Comm_Z(E7, E26, E27, E8, E9, E6/E15)</f>
        <v>384</v>
      </c>
      <c r="F28" s="7" cm="1">
        <f t="array" ref="F28">Comm_Z(F7, F26, F27, F8, F9, F6/F15)</f>
        <v>384</v>
      </c>
      <c r="G28" s="7" cm="1">
        <f t="array" ref="G28">Comm_Z(G7, G26, G27, G8, G9, G6/G15)</f>
        <v>384</v>
      </c>
    </row>
    <row r="29" spans="2:7" x14ac:dyDescent="0.2">
      <c r="B29" s="1" t="s">
        <v>28</v>
      </c>
      <c r="D29" s="10" cm="1">
        <f t="array" ref="D29">Comm_TBS(D7, D26, D27, D8, D9, D6/D15)</f>
        <v>1147488</v>
      </c>
      <c r="E29" s="7" cm="1">
        <f t="array" ref="E29">Comm_TBS(E7, E26, E27, E8, E9, E6/E15)</f>
        <v>450984</v>
      </c>
      <c r="F29" s="7" cm="1">
        <f t="array" ref="F29">Comm_TBS(F7, F26, F27, F8, F9, F6/F15)</f>
        <v>65576</v>
      </c>
      <c r="G29" s="7" cm="1">
        <f t="array" ref="G29">Comm_TBS(G7, G26, G27, G8, G9, G6/G15)</f>
        <v>24072</v>
      </c>
    </row>
    <row r="30" spans="2:7" x14ac:dyDescent="0.2">
      <c r="B30" s="1" t="s">
        <v>29</v>
      </c>
      <c r="D30" s="10" cm="1">
        <f t="array" ref="D30">Comm_CB(D7, D26, D27, D8, D9, D6/D15)</f>
        <v>137</v>
      </c>
      <c r="E30" s="7" cm="1">
        <f t="array" ref="E30">Comm_CB(E7, E26, E27, E8, E9, E6/E15)</f>
        <v>54</v>
      </c>
      <c r="F30" s="7" cm="1">
        <f t="array" ref="F30">Comm_CB(F7, F26, F27, F8, F9, F6/F15)</f>
        <v>8</v>
      </c>
      <c r="G30" s="7" cm="1">
        <f t="array" ref="G30">Comm_CB(G7, G26, G27, G8, G9, G6/G15)</f>
        <v>3</v>
      </c>
    </row>
    <row r="31" spans="2:7" x14ac:dyDescent="0.2">
      <c r="B31" s="1" t="s">
        <v>30</v>
      </c>
      <c r="D31" s="10" cm="1">
        <f t="array" ref="D31">Comm_Parity_Nodes(D7, D26, D27, D8, D9, D6/D15)</f>
        <v>4</v>
      </c>
      <c r="E31" s="7" cm="1">
        <f t="array" ref="E31">Comm_Parity_Nodes(E7, E26, E27, E8, E9, E6/E15)</f>
        <v>7</v>
      </c>
      <c r="F31" s="7" cm="1">
        <f t="array" ref="F31">Comm_Parity_Nodes(F7, F26, F27, F8, F9, F6/F15)</f>
        <v>19</v>
      </c>
      <c r="G31" s="7" cm="1">
        <f t="array" ref="G31">Comm_Parity_Nodes(G7, G26, G27, G8, G9, G6/G15)</f>
        <v>26</v>
      </c>
    </row>
    <row r="33" spans="5:7" x14ac:dyDescent="0.2">
      <c r="E33" s="7">
        <v>4</v>
      </c>
      <c r="F33" s="7">
        <v>4</v>
      </c>
      <c r="G33" s="7">
        <v>4</v>
      </c>
    </row>
    <row r="34" spans="5:7" x14ac:dyDescent="0.2">
      <c r="E34" s="7">
        <v>0.3</v>
      </c>
      <c r="F34" s="7">
        <v>0.3</v>
      </c>
      <c r="G34" s="7">
        <v>0.3</v>
      </c>
    </row>
    <row r="35" spans="5:7" x14ac:dyDescent="0.2">
      <c r="E35" s="7">
        <v>0.35</v>
      </c>
      <c r="F35" s="7">
        <v>0.4</v>
      </c>
      <c r="G35">
        <v>0.25</v>
      </c>
    </row>
    <row r="36" spans="5:7" x14ac:dyDescent="0.2">
      <c r="E36" s="16" t="s">
        <v>54</v>
      </c>
      <c r="F36" s="16" t="s">
        <v>55</v>
      </c>
      <c r="G36" s="16" t="s">
        <v>56</v>
      </c>
    </row>
  </sheetData>
  <pageMargins left="0.7" right="0.7" top="0.75" bottom="0.75" header="0.3" footer="0.3"/>
  <pageSetup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C906ACEE0BDF4B8A70E2B493C26F37" ma:contentTypeVersion="5" ma:contentTypeDescription="Create a new document." ma:contentTypeScope="" ma:versionID="ad8aeae90cfad541aad32127da97fe18">
  <xsd:schema xmlns:xsd="http://www.w3.org/2001/XMLSchema" xmlns:xs="http://www.w3.org/2001/XMLSchema" xmlns:p="http://schemas.microsoft.com/office/2006/metadata/properties" xmlns:ns3="5a78ed92-e972-479a-a8d3-ca3e1e4d7a31" xmlns:ns4="9a8041e9-946d-412c-a66d-2dd6a75e84ce" targetNamespace="http://schemas.microsoft.com/office/2006/metadata/properties" ma:root="true" ma:fieldsID="4920007a5550ed27a91526cc9c5a79cc" ns3:_="" ns4:_="">
    <xsd:import namespace="5a78ed92-e972-479a-a8d3-ca3e1e4d7a31"/>
    <xsd:import namespace="9a8041e9-946d-412c-a66d-2dd6a75e84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78ed92-e972-479a-a8d3-ca3e1e4d7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041e9-946d-412c-a66d-2dd6a75e84c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C084EC-AA31-48D7-A016-15C18ECDD8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78ed92-e972-479a-a8d3-ca3e1e4d7a31"/>
    <ds:schemaRef ds:uri="9a8041e9-946d-412c-a66d-2dd6a75e84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F92E8D-40EF-4031-927C-7B228DA0D320}">
  <ds:schemaRefs>
    <ds:schemaRef ds:uri="http://purl.org/dc/terms/"/>
    <ds:schemaRef ds:uri="http://schemas.openxmlformats.org/package/2006/metadata/core-properties"/>
    <ds:schemaRef ds:uri="5a78ed92-e972-479a-a8d3-ca3e1e4d7a31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9a8041e9-946d-412c-a66d-2dd6a75e84c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38E93-EEC8-4F2A-A4FD-45A3FEA68E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F01 - PDSCH</vt:lpstr>
      <vt:lpstr>F01 - PUSCH</vt:lpstr>
      <vt:lpstr>F14 - PDSCH</vt:lpstr>
      <vt:lpstr>F14 - PUSCH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Balercia</dc:creator>
  <cp:lastModifiedBy>Microsoft Office User</cp:lastModifiedBy>
  <cp:revision/>
  <dcterms:created xsi:type="dcterms:W3CDTF">2020-04-01T21:44:52Z</dcterms:created>
  <dcterms:modified xsi:type="dcterms:W3CDTF">2021-11-17T18:57:08Z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558183-044c-4105-8d9c-cea02a2a3d86_Enabled">
    <vt:lpwstr>True</vt:lpwstr>
  </property>
  <property fmtid="{D5CDD505-2E9C-101B-9397-08002B2CF9AE}" pid="3" name="MSIP_Label_6b558183-044c-4105-8d9c-cea02a2a3d86_SiteId">
    <vt:lpwstr>43083d15-7273-40c1-b7db-39efd9ccc17a</vt:lpwstr>
  </property>
  <property fmtid="{D5CDD505-2E9C-101B-9397-08002B2CF9AE}" pid="4" name="MSIP_Label_6b558183-044c-4105-8d9c-cea02a2a3d86_Owner">
    <vt:lpwstr>tbalercia@nvidia.com</vt:lpwstr>
  </property>
  <property fmtid="{D5CDD505-2E9C-101B-9397-08002B2CF9AE}" pid="5" name="MSIP_Label_6b558183-044c-4105-8d9c-cea02a2a3d86_SetDate">
    <vt:lpwstr>2020-04-02T01:12:22.9531466Z</vt:lpwstr>
  </property>
  <property fmtid="{D5CDD505-2E9C-101B-9397-08002B2CF9AE}" pid="6" name="MSIP_Label_6b558183-044c-4105-8d9c-cea02a2a3d86_Name">
    <vt:lpwstr>Unrestricted</vt:lpwstr>
  </property>
  <property fmtid="{D5CDD505-2E9C-101B-9397-08002B2CF9AE}" pid="7" name="MSIP_Label_6b558183-044c-4105-8d9c-cea02a2a3d86_Application">
    <vt:lpwstr>Microsoft Azure Information Protection</vt:lpwstr>
  </property>
  <property fmtid="{D5CDD505-2E9C-101B-9397-08002B2CF9AE}" pid="8" name="MSIP_Label_6b558183-044c-4105-8d9c-cea02a2a3d86_Extended_MSFT_Method">
    <vt:lpwstr>Automatic</vt:lpwstr>
  </property>
  <property fmtid="{D5CDD505-2E9C-101B-9397-08002B2CF9AE}" pid="9" name="Sensitivity">
    <vt:lpwstr>Unrestricted</vt:lpwstr>
  </property>
  <property fmtid="{D5CDD505-2E9C-101B-9397-08002B2CF9AE}" pid="10" name="ContentTypeId">
    <vt:lpwstr>0x0101005FC906ACEE0BDF4B8A70E2B493C26F37</vt:lpwstr>
  </property>
</Properties>
</file>