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balercia/workspace/pbat/"/>
    </mc:Choice>
  </mc:AlternateContent>
  <xr:revisionPtr revIDLastSave="0" documentId="13_ncr:1_{E46D6B39-DE93-1146-8692-8390C7CDB5D9}" xr6:coauthVersionLast="46" xr6:coauthVersionMax="46" xr10:uidLastSave="{00000000-0000-0000-0000-000000000000}"/>
  <bookViews>
    <workbookView xWindow="60180" yWindow="500" windowWidth="60160" windowHeight="33340" tabRatio="931" activeTab="1" xr2:uid="{E70F5F0B-A5BA-4AD9-BF50-FA9737804343}"/>
  </bookViews>
  <sheets>
    <sheet name="F01 - PDSCH" sheetId="4" r:id="rId1"/>
    <sheet name="F01 - PUSCH" sheetId="6" r:id="rId2"/>
    <sheet name="F14 - PDSCH" sheetId="1" r:id="rId3"/>
    <sheet name="F14 - PUSCH" sheetId="5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7" i="5" l="1" a="1"/>
  <c r="P26" i="5" a="1"/>
  <c r="K27" i="5" a="1"/>
  <c r="E26" i="1" a="1"/>
  <c r="J26" i="1" a="1"/>
  <c r="R26" i="1" a="1"/>
  <c r="O27" i="4" a="1"/>
  <c r="D27" i="4" a="1"/>
  <c r="Q26" i="4" a="1"/>
  <c r="Z26" i="4" a="1"/>
  <c r="U27" i="4" a="1"/>
  <c r="O26" i="4" a="1"/>
  <c r="V27" i="1" a="1"/>
  <c r="X26" i="4" a="1"/>
  <c r="K26" i="4" a="1"/>
  <c r="U26" i="4" a="1"/>
  <c r="M26" i="4" a="1"/>
  <c r="T27" i="4" a="1"/>
  <c r="N27" i="5" a="1"/>
  <c r="G26" i="5" a="1"/>
  <c r="R27" i="5" a="1"/>
  <c r="U27" i="1" a="1"/>
  <c r="Z27" i="1" a="1"/>
  <c r="Y26" i="1" a="1"/>
  <c r="N27" i="4" a="1"/>
  <c r="P26" i="4" a="1"/>
  <c r="Q27" i="5" a="1"/>
  <c r="Z27" i="4" a="1"/>
  <c r="Q27" i="4" a="1"/>
  <c r="P27" i="4" a="1"/>
  <c r="V27" i="4" a="1"/>
  <c r="L26" i="4" a="1"/>
  <c r="Q26" i="5" a="1"/>
  <c r="H27" i="4" a="1"/>
  <c r="F27" i="5" a="1"/>
  <c r="V26" i="5" a="1"/>
  <c r="I26" i="5" a="1"/>
  <c r="T26" i="1" a="1"/>
  <c r="P26" i="1" a="1"/>
  <c r="I27" i="1" a="1"/>
  <c r="J26" i="4" a="1"/>
  <c r="K27" i="1" a="1"/>
  <c r="G27" i="4" a="1"/>
  <c r="U26" i="5" a="1"/>
  <c r="M27" i="5" a="1"/>
  <c r="I27" i="5" a="1"/>
  <c r="K26" i="1" a="1"/>
  <c r="N26" i="1" a="1"/>
  <c r="W26" i="1" a="1"/>
  <c r="L27" i="4" a="1"/>
  <c r="Y26" i="4" a="1"/>
  <c r="G26" i="4" a="1"/>
  <c r="I26" i="4" a="1"/>
  <c r="E26" i="5" a="1"/>
  <c r="F26" i="4" a="1"/>
  <c r="D26" i="4" a="1"/>
  <c r="N26" i="4" a="1"/>
  <c r="X27" i="4" a="1"/>
  <c r="F27" i="4" a="1"/>
  <c r="M26" i="5" a="1"/>
  <c r="E27" i="5" a="1"/>
  <c r="R26" i="5" a="1"/>
  <c r="J27" i="1" a="1"/>
  <c r="E27" i="1" a="1"/>
  <c r="Z26" i="1" a="1"/>
  <c r="S27" i="4" a="1"/>
  <c r="V26" i="4" a="1"/>
  <c r="L26" i="5" a="1"/>
  <c r="H26" i="4" a="1"/>
  <c r="X27" i="1" a="1"/>
  <c r="W26" i="4" a="1"/>
  <c r="S26" i="5" a="1"/>
  <c r="D26" i="5" a="1"/>
  <c r="H26" i="5" a="1"/>
  <c r="F27" i="1" a="1"/>
  <c r="R27" i="1" a="1"/>
  <c r="F26" i="1" a="1"/>
  <c r="J27" i="4" a="1"/>
  <c r="T26" i="4" a="1"/>
  <c r="Y26" i="5" a="1"/>
  <c r="J27" i="5" a="1"/>
  <c r="W26" i="5" a="1"/>
  <c r="M26" i="1" a="1"/>
  <c r="X26" i="1" a="1"/>
  <c r="G27" i="1" a="1"/>
  <c r="W27" i="4" a="1"/>
  <c r="S26" i="1" a="1"/>
  <c r="O26" i="5" a="1"/>
  <c r="X26" i="5" a="1"/>
  <c r="X27" i="5" a="1"/>
  <c r="D26" i="1" a="1"/>
  <c r="T27" i="1" a="1"/>
  <c r="P27" i="1" a="1"/>
  <c r="I27" i="4" a="1"/>
  <c r="L26" i="1" a="1"/>
  <c r="W27" i="5" a="1"/>
  <c r="H27" i="5" a="1"/>
  <c r="G27" i="5" a="1"/>
  <c r="Q26" i="1" a="1"/>
  <c r="D27" i="1" a="1"/>
  <c r="O27" i="1" a="1"/>
  <c r="M27" i="4" a="1"/>
  <c r="E27" i="4" a="1"/>
  <c r="S26" i="4" a="1"/>
  <c r="U26" i="1" a="1"/>
  <c r="T27" i="5" a="1"/>
  <c r="O27" i="5" a="1"/>
  <c r="Y27" i="5" a="1"/>
  <c r="Y27" i="1" a="1"/>
  <c r="S27" i="1" a="1"/>
  <c r="H27" i="1" a="1"/>
  <c r="R27" i="4" a="1"/>
  <c r="K27" i="4" a="1"/>
  <c r="K26" i="5" a="1"/>
  <c r="U27" i="5" a="1"/>
  <c r="P27" i="5" a="1"/>
  <c r="H26" i="1" a="1"/>
  <c r="I26" i="1" a="1"/>
  <c r="W27" i="1" a="1"/>
  <c r="E26" i="4" a="1"/>
  <c r="S27" i="5" a="1"/>
  <c r="T26" i="5" a="1"/>
  <c r="N26" i="5" a="1"/>
  <c r="O26" i="1" a="1"/>
  <c r="Q27" i="1" a="1"/>
  <c r="Y27" i="4" a="1"/>
  <c r="D27" i="5" a="1"/>
  <c r="J26" i="5" a="1"/>
  <c r="L27" i="5" a="1"/>
  <c r="F26" i="5" a="1"/>
  <c r="V26" i="1" a="1"/>
  <c r="G26" i="1" a="1"/>
  <c r="Z27" i="5" a="1"/>
  <c r="Z26" i="5" a="1"/>
  <c r="N27" i="1" a="1"/>
  <c r="M27" i="1" a="1"/>
  <c r="L27" i="1" a="1"/>
  <c r="R26" i="4" a="1"/>
  <c r="L26" i="6" a="1"/>
  <c r="S26" i="6" a="1"/>
  <c r="Q26" i="6" a="1"/>
  <c r="V27" i="6" a="1"/>
  <c r="N27" i="6" a="1"/>
  <c r="F27" i="6" a="1"/>
  <c r="U26" i="6" a="1"/>
  <c r="M26" i="6" a="1"/>
  <c r="E26" i="6" a="1"/>
  <c r="U27" i="6" a="1"/>
  <c r="M27" i="6" a="1"/>
  <c r="T26" i="6" a="1"/>
  <c r="D26" i="6" a="1"/>
  <c r="L27" i="6" a="1"/>
  <c r="I26" i="6" a="1"/>
  <c r="I27" i="6" a="1"/>
  <c r="X27" i="6" a="1"/>
  <c r="E27" i="6" a="1"/>
  <c r="T27" i="6" a="1"/>
  <c r="K26" i="6" a="1"/>
  <c r="Y26" i="6" a="1"/>
  <c r="X26" i="6" a="1"/>
  <c r="W26" i="6" a="1"/>
  <c r="N26" i="6" a="1"/>
  <c r="P26" i="6" a="1"/>
  <c r="O26" i="6" a="1"/>
  <c r="D27" i="6" a="1"/>
  <c r="J26" i="6" a="1"/>
  <c r="Q27" i="6" a="1"/>
  <c r="P27" i="6" a="1"/>
  <c r="O27" i="6" a="1"/>
  <c r="K27" i="6" a="1"/>
  <c r="R26" i="6" a="1"/>
  <c r="Y27" i="6" a="1"/>
  <c r="S27" i="6" a="1"/>
  <c r="Z26" i="6" a="1"/>
  <c r="W27" i="6" a="1"/>
  <c r="J27" i="6" a="1"/>
  <c r="H27" i="6" a="1"/>
  <c r="Z27" i="6" a="1"/>
  <c r="R27" i="6" a="1"/>
  <c r="H26" i="6" a="1"/>
  <c r="G26" i="6" a="1"/>
  <c r="F26" i="6" a="1"/>
  <c r="V26" i="6" a="1"/>
  <c r="G27" i="6" a="1"/>
  <c r="G27" i="6" l="1"/>
  <c r="V26" i="6"/>
  <c r="F26" i="6"/>
  <c r="G26" i="6"/>
  <c r="H26" i="6"/>
  <c r="R27" i="6"/>
  <c r="Z27" i="6"/>
  <c r="H27" i="6"/>
  <c r="J27" i="6"/>
  <c r="W27" i="6"/>
  <c r="Z26" i="6"/>
  <c r="S27" i="6"/>
  <c r="Y27" i="6"/>
  <c r="R26" i="6"/>
  <c r="K27" i="6"/>
  <c r="O27" i="6"/>
  <c r="P27" i="6"/>
  <c r="Q27" i="6"/>
  <c r="J26" i="6"/>
  <c r="D27" i="6"/>
  <c r="O26" i="6"/>
  <c r="P26" i="6"/>
  <c r="N26" i="6"/>
  <c r="W26" i="6"/>
  <c r="X26" i="6"/>
  <c r="Y26" i="6"/>
  <c r="K26" i="6"/>
  <c r="T27" i="6"/>
  <c r="E27" i="6"/>
  <c r="X27" i="6"/>
  <c r="I27" i="6"/>
  <c r="I26" i="6"/>
  <c r="L27" i="6"/>
  <c r="D26" i="6"/>
  <c r="T26" i="6"/>
  <c r="M27" i="6"/>
  <c r="U27" i="6"/>
  <c r="E26" i="6"/>
  <c r="M26" i="6"/>
  <c r="U26" i="6"/>
  <c r="F27" i="6"/>
  <c r="N27" i="6"/>
  <c r="V27" i="6"/>
  <c r="Q26" i="6"/>
  <c r="S26" i="6"/>
  <c r="L26" i="6"/>
  <c r="R26" i="4"/>
  <c r="L27" i="1"/>
  <c r="M27" i="1"/>
  <c r="N27" i="1"/>
  <c r="Z26" i="5"/>
  <c r="Z27" i="5"/>
  <c r="G26" i="1"/>
  <c r="V26" i="1"/>
  <c r="F26" i="5"/>
  <c r="L27" i="5"/>
  <c r="J26" i="5"/>
  <c r="D27" i="5"/>
  <c r="Y27" i="4"/>
  <c r="Q27" i="1"/>
  <c r="O26" i="1"/>
  <c r="N26" i="5"/>
  <c r="T26" i="5"/>
  <c r="S27" i="5"/>
  <c r="E26" i="4"/>
  <c r="W27" i="1"/>
  <c r="I26" i="1"/>
  <c r="H26" i="1"/>
  <c r="P27" i="5"/>
  <c r="U27" i="5"/>
  <c r="K26" i="5"/>
  <c r="K27" i="4"/>
  <c r="R27" i="4"/>
  <c r="H27" i="1"/>
  <c r="S27" i="1"/>
  <c r="Y27" i="1"/>
  <c r="Y27" i="5"/>
  <c r="O27" i="5"/>
  <c r="T27" i="5"/>
  <c r="U26" i="1"/>
  <c r="S26" i="4"/>
  <c r="E27" i="4"/>
  <c r="M27" i="4"/>
  <c r="O27" i="1"/>
  <c r="D27" i="1"/>
  <c r="Q26" i="1"/>
  <c r="G27" i="5"/>
  <c r="H27" i="5"/>
  <c r="W27" i="5"/>
  <c r="L26" i="1"/>
  <c r="I27" i="4"/>
  <c r="P27" i="1"/>
  <c r="T27" i="1"/>
  <c r="D26" i="1"/>
  <c r="X27" i="5"/>
  <c r="X26" i="5"/>
  <c r="O26" i="5"/>
  <c r="S26" i="1"/>
  <c r="W27" i="4"/>
  <c r="G27" i="1"/>
  <c r="X26" i="1"/>
  <c r="M26" i="1"/>
  <c r="W26" i="5"/>
  <c r="J27" i="5"/>
  <c r="Y26" i="5"/>
  <c r="T26" i="4"/>
  <c r="J27" i="4"/>
  <c r="F26" i="1"/>
  <c r="R27" i="1"/>
  <c r="F27" i="1"/>
  <c r="H26" i="5"/>
  <c r="D26" i="5"/>
  <c r="S26" i="5"/>
  <c r="W26" i="4"/>
  <c r="X27" i="1"/>
  <c r="H26" i="4"/>
  <c r="L26" i="5"/>
  <c r="V26" i="4"/>
  <c r="S27" i="4"/>
  <c r="Z26" i="1"/>
  <c r="E27" i="1"/>
  <c r="J27" i="1"/>
  <c r="R26" i="5"/>
  <c r="E27" i="5"/>
  <c r="M26" i="5"/>
  <c r="F27" i="4"/>
  <c r="X27" i="4"/>
  <c r="N26" i="4"/>
  <c r="D26" i="4"/>
  <c r="F26" i="4"/>
  <c r="E26" i="5"/>
  <c r="I26" i="4"/>
  <c r="G26" i="4"/>
  <c r="Y26" i="4"/>
  <c r="L27" i="4"/>
  <c r="W26" i="1"/>
  <c r="N26" i="1"/>
  <c r="K26" i="1"/>
  <c r="I27" i="5"/>
  <c r="M27" i="5"/>
  <c r="U26" i="5"/>
  <c r="G27" i="4"/>
  <c r="K27" i="1"/>
  <c r="J26" i="4"/>
  <c r="I27" i="1"/>
  <c r="P26" i="1"/>
  <c r="T26" i="1"/>
  <c r="I26" i="5"/>
  <c r="V26" i="5"/>
  <c r="F27" i="5"/>
  <c r="H27" i="4"/>
  <c r="Q26" i="5"/>
  <c r="L26" i="4"/>
  <c r="V27" i="4"/>
  <c r="P27" i="4"/>
  <c r="Q27" i="4"/>
  <c r="Z27" i="4"/>
  <c r="Q27" i="5"/>
  <c r="P26" i="4"/>
  <c r="N27" i="4"/>
  <c r="Y26" i="1"/>
  <c r="Z27" i="1"/>
  <c r="U27" i="1"/>
  <c r="R27" i="5"/>
  <c r="G26" i="5"/>
  <c r="N27" i="5"/>
  <c r="T27" i="4"/>
  <c r="M26" i="4"/>
  <c r="U26" i="4"/>
  <c r="K26" i="4"/>
  <c r="X26" i="4"/>
  <c r="V27" i="1"/>
  <c r="O26" i="4"/>
  <c r="U27" i="4"/>
  <c r="Z26" i="4"/>
  <c r="Q26" i="4"/>
  <c r="D27" i="4"/>
  <c r="O27" i="4"/>
  <c r="R26" i="1"/>
  <c r="J26" i="1"/>
  <c r="E26" i="1"/>
  <c r="K27" i="5"/>
  <c r="P26" i="5"/>
  <c r="V27" i="5"/>
  <c r="W30" i="4" a="1"/>
  <c r="W28" i="4" a="1"/>
  <c r="W29" i="4" a="1"/>
  <c r="W31" i="4" a="1"/>
  <c r="I30" i="1" a="1"/>
  <c r="I28" i="1" a="1"/>
  <c r="I29" i="1" a="1"/>
  <c r="I31" i="1" a="1"/>
  <c r="Q29" i="4" a="1"/>
  <c r="Q28" i="4" a="1"/>
  <c r="Q30" i="4" a="1"/>
  <c r="Q31" i="4" a="1"/>
  <c r="D28" i="5" a="1"/>
  <c r="D29" i="5" a="1"/>
  <c r="D31" i="5" a="1"/>
  <c r="D30" i="5" a="1"/>
  <c r="K28" i="4" a="1"/>
  <c r="K29" i="4" a="1"/>
  <c r="K31" i="4" a="1"/>
  <c r="K30" i="4" a="1"/>
  <c r="I31" i="4" a="1"/>
  <c r="I28" i="4" a="1"/>
  <c r="I29" i="4" a="1"/>
  <c r="I30" i="4" a="1"/>
  <c r="J31" i="5" a="1"/>
  <c r="J30" i="5" a="1"/>
  <c r="J28" i="5" a="1"/>
  <c r="J29" i="5" a="1"/>
  <c r="V30" i="1" a="1"/>
  <c r="V28" i="1" a="1"/>
  <c r="V29" i="1" a="1"/>
  <c r="V31" i="1" a="1"/>
  <c r="Y31" i="4" a="1"/>
  <c r="Y29" i="4" a="1"/>
  <c r="Y28" i="4" a="1"/>
  <c r="Y30" i="4" a="1"/>
  <c r="E28" i="4" a="1"/>
  <c r="E29" i="4" a="1"/>
  <c r="E30" i="4" a="1"/>
  <c r="E31" i="4" a="1"/>
  <c r="X28" i="4" a="1"/>
  <c r="X31" i="4" a="1"/>
  <c r="X30" i="4" a="1"/>
  <c r="X29" i="4" a="1"/>
  <c r="R29" i="4" a="1"/>
  <c r="R30" i="4" a="1"/>
  <c r="R31" i="4" a="1"/>
  <c r="R28" i="4" a="1"/>
  <c r="M30" i="4" a="1"/>
  <c r="M29" i="4" a="1"/>
  <c r="M31" i="4" a="1"/>
  <c r="M28" i="4" a="1"/>
  <c r="U28" i="4" a="1"/>
  <c r="U31" i="4" a="1"/>
  <c r="U29" i="4" a="1"/>
  <c r="U30" i="4" a="1"/>
  <c r="K31" i="1" a="1"/>
  <c r="K28" i="1" a="1"/>
  <c r="K29" i="1" a="1"/>
  <c r="K30" i="1" a="1"/>
  <c r="Z31" i="4" a="1"/>
  <c r="Z29" i="4" a="1"/>
  <c r="Z28" i="4" a="1"/>
  <c r="Z30" i="4" a="1"/>
  <c r="F31" i="5" a="1"/>
  <c r="F28" i="5" a="1"/>
  <c r="F29" i="5" a="1"/>
  <c r="F30" i="5" a="1"/>
  <c r="K29" i="5" a="1"/>
  <c r="K30" i="5" a="1"/>
  <c r="K28" i="5" a="1"/>
  <c r="K31" i="5" a="1"/>
  <c r="P29" i="1" a="1"/>
  <c r="P30" i="1" a="1"/>
  <c r="P31" i="1" a="1"/>
  <c r="P28" i="1" a="1"/>
  <c r="I30" i="5" a="1"/>
  <c r="I28" i="5" a="1"/>
  <c r="I29" i="5" a="1"/>
  <c r="I31" i="5" a="1"/>
  <c r="H30" i="4" a="1"/>
  <c r="H31" i="4" a="1"/>
  <c r="H29" i="4" a="1"/>
  <c r="H28" i="4" a="1"/>
  <c r="D29" i="4" a="1"/>
  <c r="D28" i="4" a="1"/>
  <c r="D31" i="4" a="1"/>
  <c r="D30" i="4" a="1"/>
  <c r="T30" i="1" a="1"/>
  <c r="T29" i="1" a="1"/>
  <c r="T28" i="1" a="1"/>
  <c r="T31" i="1" a="1"/>
  <c r="M28" i="5" a="1"/>
  <c r="M31" i="5" a="1"/>
  <c r="M30" i="5" a="1"/>
  <c r="M29" i="5" a="1"/>
  <c r="O28" i="4" a="1"/>
  <c r="O29" i="4" a="1"/>
  <c r="O30" i="4" a="1"/>
  <c r="O31" i="4" a="1"/>
  <c r="V30" i="5" a="1"/>
  <c r="V28" i="5" a="1"/>
  <c r="V29" i="5" a="1"/>
  <c r="V31" i="5" a="1"/>
  <c r="J28" i="4" a="1"/>
  <c r="J29" i="4" a="1"/>
  <c r="J31" i="4" a="1"/>
  <c r="J30" i="4" a="1"/>
  <c r="R31" i="1" a="1"/>
  <c r="R30" i="1" a="1"/>
  <c r="R29" i="1" a="1"/>
  <c r="R28" i="1" a="1"/>
  <c r="L29" i="4" a="1"/>
  <c r="L28" i="4" a="1"/>
  <c r="L30" i="4" a="1"/>
  <c r="L31" i="4" a="1"/>
  <c r="Z31" i="1" a="1"/>
  <c r="Z29" i="1" a="1"/>
  <c r="Z28" i="1" a="1"/>
  <c r="Z30" i="1" a="1"/>
  <c r="W28" i="1" a="1"/>
  <c r="W29" i="1" a="1"/>
  <c r="W30" i="1" a="1"/>
  <c r="W31" i="1" a="1"/>
  <c r="H29" i="1" a="1"/>
  <c r="H30" i="1" a="1"/>
  <c r="H31" i="1" a="1"/>
  <c r="H28" i="1" a="1"/>
  <c r="O28" i="1" a="1"/>
  <c r="O29" i="1" a="1"/>
  <c r="O30" i="1" a="1"/>
  <c r="O31" i="1" a="1"/>
  <c r="X29" i="5" a="1"/>
  <c r="X30" i="5" a="1"/>
  <c r="X31" i="5" a="1"/>
  <c r="X28" i="5" a="1"/>
  <c r="F30" i="1" a="1"/>
  <c r="F28" i="1" a="1"/>
  <c r="F31" i="1" a="1"/>
  <c r="F29" i="1" a="1"/>
  <c r="X29" i="1" a="1"/>
  <c r="X30" i="1" a="1"/>
  <c r="X28" i="1" a="1"/>
  <c r="X31" i="1" a="1"/>
  <c r="U30" i="1" a="1"/>
  <c r="U28" i="1" a="1"/>
  <c r="U29" i="1" a="1"/>
  <c r="U31" i="1" a="1"/>
  <c r="Q30" i="1" a="1"/>
  <c r="Q31" i="1" a="1"/>
  <c r="Q28" i="1" a="1"/>
  <c r="Q29" i="1" a="1"/>
  <c r="S28" i="1" a="1"/>
  <c r="S29" i="1" a="1"/>
  <c r="S30" i="1" a="1"/>
  <c r="S31" i="1" a="1"/>
  <c r="D29" i="1" a="1"/>
  <c r="D28" i="1" a="1"/>
  <c r="D30" i="1" a="1"/>
  <c r="D31" i="1" a="1"/>
  <c r="E29" i="1" a="1"/>
  <c r="E31" i="1" a="1"/>
  <c r="E28" i="1" a="1"/>
  <c r="E30" i="1" a="1"/>
  <c r="V28" i="4" a="1"/>
  <c r="V29" i="4" a="1"/>
  <c r="V30" i="4" a="1"/>
  <c r="V31" i="4" a="1"/>
  <c r="Q30" i="5" a="1"/>
  <c r="Q29" i="5" a="1"/>
  <c r="Q31" i="5" a="1"/>
  <c r="Q28" i="5" a="1"/>
  <c r="R31" i="5" a="1"/>
  <c r="R28" i="5" a="1"/>
  <c r="R30" i="5" a="1"/>
  <c r="R29" i="5" a="1"/>
  <c r="L28" i="1" a="1"/>
  <c r="L29" i="1" a="1"/>
  <c r="L31" i="1" a="1"/>
  <c r="L30" i="1" a="1"/>
  <c r="Y29" i="1" a="1"/>
  <c r="Y30" i="1" a="1"/>
  <c r="Y31" i="1" a="1"/>
  <c r="Y28" i="1" a="1"/>
  <c r="J28" i="1" a="1"/>
  <c r="J31" i="1" a="1"/>
  <c r="J29" i="1" a="1"/>
  <c r="J30" i="1" a="1"/>
  <c r="G30" i="4" a="1"/>
  <c r="G31" i="4" a="1"/>
  <c r="G29" i="4" a="1"/>
  <c r="G28" i="4" a="1"/>
  <c r="M29" i="1" a="1"/>
  <c r="M28" i="1" a="1"/>
  <c r="M30" i="1" a="1"/>
  <c r="M31" i="1" a="1"/>
  <c r="P29" i="5" a="1"/>
  <c r="P30" i="5" a="1"/>
  <c r="P28" i="5" a="1"/>
  <c r="P31" i="5" a="1"/>
  <c r="Y30" i="5" a="1"/>
  <c r="Y31" i="5" a="1"/>
  <c r="Y28" i="5" a="1"/>
  <c r="Y29" i="5" a="1"/>
  <c r="G28" i="5" a="1"/>
  <c r="G31" i="5" a="1"/>
  <c r="G29" i="5" a="1"/>
  <c r="G30" i="5" a="1"/>
  <c r="N28" i="4" a="1"/>
  <c r="N30" i="4" a="1"/>
  <c r="N29" i="4" a="1"/>
  <c r="N31" i="4" a="1"/>
  <c r="N29" i="5" a="1"/>
  <c r="N28" i="5" a="1"/>
  <c r="N30" i="5" a="1"/>
  <c r="N31" i="5" a="1"/>
  <c r="N31" i="1" a="1"/>
  <c r="N28" i="1" a="1"/>
  <c r="N30" i="1" a="1"/>
  <c r="N29" i="1" a="1"/>
  <c r="U29" i="5" a="1"/>
  <c r="U30" i="5" a="1"/>
  <c r="U28" i="5" a="1"/>
  <c r="U31" i="5" a="1"/>
  <c r="O30" i="5" a="1"/>
  <c r="O28" i="5" a="1"/>
  <c r="O31" i="5" a="1"/>
  <c r="O29" i="5" a="1"/>
  <c r="H29" i="5" a="1"/>
  <c r="H30" i="5" a="1"/>
  <c r="H31" i="5" a="1"/>
  <c r="H28" i="5" a="1"/>
  <c r="G28" i="1" a="1"/>
  <c r="G31" i="1" a="1"/>
  <c r="G29" i="1" a="1"/>
  <c r="G30" i="1" a="1"/>
  <c r="E29" i="5" a="1"/>
  <c r="E28" i="5" a="1"/>
  <c r="E31" i="5" a="1"/>
  <c r="E30" i="5" a="1"/>
  <c r="P29" i="4" a="1"/>
  <c r="P28" i="4" a="1"/>
  <c r="P30" i="4" a="1"/>
  <c r="P31" i="4" a="1"/>
  <c r="L28" i="5" a="1"/>
  <c r="L30" i="5" a="1"/>
  <c r="L29" i="5" a="1"/>
  <c r="L31" i="5" a="1"/>
  <c r="S28" i="5" a="1"/>
  <c r="S31" i="5" a="1"/>
  <c r="S29" i="5" a="1"/>
  <c r="S30" i="5" a="1"/>
  <c r="T29" i="5" a="1"/>
  <c r="T30" i="5" a="1"/>
  <c r="T31" i="5" a="1"/>
  <c r="T28" i="5" a="1"/>
  <c r="W28" i="5" a="1"/>
  <c r="W30" i="5" a="1"/>
  <c r="W29" i="5" a="1"/>
  <c r="W31" i="5" a="1"/>
  <c r="S28" i="4" a="1"/>
  <c r="S30" i="4" a="1"/>
  <c r="S29" i="4" a="1"/>
  <c r="S31" i="4" a="1"/>
  <c r="Z31" i="5" a="1"/>
  <c r="Z29" i="5" a="1"/>
  <c r="Z28" i="5" a="1"/>
  <c r="Z30" i="5" a="1"/>
  <c r="F29" i="4" a="1"/>
  <c r="F28" i="4" a="1"/>
  <c r="F30" i="4" a="1"/>
  <c r="F31" i="4" a="1"/>
  <c r="T29" i="4" a="1"/>
  <c r="T30" i="4" a="1"/>
  <c r="T31" i="4" a="1"/>
  <c r="T28" i="4" a="1"/>
  <c r="G31" i="6" a="1"/>
  <c r="G30" i="6" a="1"/>
  <c r="G29" i="6" a="1"/>
  <c r="G28" i="6" a="1"/>
  <c r="P28" i="6" a="1"/>
  <c r="P31" i="6" a="1"/>
  <c r="P30" i="6" a="1"/>
  <c r="P29" i="6" a="1"/>
  <c r="L30" i="6" a="1"/>
  <c r="L29" i="6" a="1"/>
  <c r="L28" i="6" a="1"/>
  <c r="L31" i="6" a="1"/>
  <c r="H31" i="6" a="1"/>
  <c r="H30" i="6" a="1"/>
  <c r="H29" i="6" a="1"/>
  <c r="H28" i="6" a="1"/>
  <c r="W31" i="6" a="1"/>
  <c r="W30" i="6" a="1"/>
  <c r="W28" i="6" a="1"/>
  <c r="W29" i="6" a="1"/>
  <c r="Q29" i="6" a="1"/>
  <c r="Q31" i="6" a="1"/>
  <c r="Q30" i="6" a="1"/>
  <c r="Q28" i="6" a="1"/>
  <c r="F31" i="6" a="1"/>
  <c r="F30" i="6" a="1"/>
  <c r="F29" i="6" a="1"/>
  <c r="F28" i="6" a="1"/>
  <c r="K31" i="6" a="1"/>
  <c r="K30" i="6" a="1"/>
  <c r="K28" i="6" a="1"/>
  <c r="K29" i="6" a="1"/>
  <c r="D29" i="6" a="1"/>
  <c r="D28" i="6" a="1"/>
  <c r="D31" i="6" a="1"/>
  <c r="D30" i="6" a="1"/>
  <c r="M30" i="6" a="1"/>
  <c r="M29" i="6" a="1"/>
  <c r="M31" i="6" a="1"/>
  <c r="M28" i="6" a="1"/>
  <c r="S28" i="6" a="1"/>
  <c r="S30" i="6" a="1"/>
  <c r="S29" i="6" a="1"/>
  <c r="S31" i="6" a="1"/>
  <c r="U30" i="6" a="1"/>
  <c r="U29" i="6" a="1"/>
  <c r="U28" i="6" a="1"/>
  <c r="U31" i="6" a="1"/>
  <c r="Y28" i="6" a="1"/>
  <c r="Y29" i="6" a="1"/>
  <c r="Y31" i="6" a="1"/>
  <c r="Y30" i="6" a="1"/>
  <c r="R28" i="6" a="1"/>
  <c r="R29" i="6" a="1"/>
  <c r="R30" i="6" a="1"/>
  <c r="R31" i="6" a="1"/>
  <c r="Z30" i="6" a="1"/>
  <c r="Z28" i="6" a="1"/>
  <c r="Z29" i="6" a="1"/>
  <c r="Z31" i="6" a="1"/>
  <c r="J29" i="6" a="1"/>
  <c r="J30" i="6" a="1"/>
  <c r="J31" i="6" a="1"/>
  <c r="J28" i="6" a="1"/>
  <c r="N31" i="6" a="1"/>
  <c r="N30" i="6" a="1"/>
  <c r="N29" i="6" a="1"/>
  <c r="N28" i="6" a="1"/>
  <c r="O31" i="6" a="1"/>
  <c r="O30" i="6" a="1"/>
  <c r="O29" i="6" a="1"/>
  <c r="O28" i="6" a="1"/>
  <c r="I28" i="6" a="1"/>
  <c r="I31" i="6" a="1"/>
  <c r="I29" i="6" a="1"/>
  <c r="I30" i="6" a="1"/>
  <c r="V31" i="6" a="1"/>
  <c r="V30" i="6" a="1"/>
  <c r="V29" i="6" a="1"/>
  <c r="V28" i="6" a="1"/>
  <c r="E30" i="6" a="1"/>
  <c r="E29" i="6" a="1"/>
  <c r="E31" i="6" a="1"/>
  <c r="E28" i="6" a="1"/>
  <c r="T29" i="6" a="1"/>
  <c r="T31" i="6" a="1"/>
  <c r="T30" i="6" a="1"/>
  <c r="T28" i="6" a="1"/>
  <c r="X28" i="6" a="1"/>
  <c r="X31" i="6" a="1"/>
  <c r="X30" i="6" a="1"/>
  <c r="X29" i="6" a="1"/>
  <c r="X29" i="6" l="1"/>
  <c r="X30" i="6"/>
  <c r="X31" i="6"/>
  <c r="X28" i="6"/>
  <c r="T28" i="6"/>
  <c r="T30" i="6"/>
  <c r="T31" i="6"/>
  <c r="T29" i="6"/>
  <c r="E28" i="6"/>
  <c r="E31" i="6"/>
  <c r="E29" i="6"/>
  <c r="E30" i="6"/>
  <c r="V28" i="6"/>
  <c r="V29" i="6"/>
  <c r="V30" i="6"/>
  <c r="V31" i="6"/>
  <c r="I30" i="6"/>
  <c r="I29" i="6"/>
  <c r="I31" i="6"/>
  <c r="I28" i="6"/>
  <c r="O28" i="6"/>
  <c r="O29" i="6"/>
  <c r="O30" i="6"/>
  <c r="O31" i="6"/>
  <c r="N28" i="6"/>
  <c r="N29" i="6"/>
  <c r="N30" i="6"/>
  <c r="N31" i="6"/>
  <c r="J28" i="6"/>
  <c r="J31" i="6"/>
  <c r="J30" i="6"/>
  <c r="J29" i="6"/>
  <c r="Z31" i="6"/>
  <c r="Z29" i="6"/>
  <c r="Z28" i="6"/>
  <c r="Z30" i="6"/>
  <c r="R31" i="6"/>
  <c r="R30" i="6"/>
  <c r="R29" i="6"/>
  <c r="R28" i="6"/>
  <c r="Y30" i="6"/>
  <c r="Y31" i="6"/>
  <c r="Y29" i="6"/>
  <c r="Y28" i="6"/>
  <c r="U31" i="6"/>
  <c r="U28" i="6"/>
  <c r="U29" i="6"/>
  <c r="U30" i="6"/>
  <c r="S31" i="6"/>
  <c r="S29" i="6"/>
  <c r="S30" i="6"/>
  <c r="S28" i="6"/>
  <c r="M28" i="6"/>
  <c r="M31" i="6"/>
  <c r="M29" i="6"/>
  <c r="M30" i="6"/>
  <c r="D30" i="6"/>
  <c r="D31" i="6"/>
  <c r="D28" i="6"/>
  <c r="D29" i="6"/>
  <c r="K29" i="6"/>
  <c r="K28" i="6"/>
  <c r="K30" i="6"/>
  <c r="K31" i="6"/>
  <c r="F28" i="6"/>
  <c r="F29" i="6"/>
  <c r="F30" i="6"/>
  <c r="F31" i="6"/>
  <c r="Q28" i="6"/>
  <c r="Q30" i="6"/>
  <c r="Q31" i="6"/>
  <c r="Q29" i="6"/>
  <c r="W29" i="6"/>
  <c r="W28" i="6"/>
  <c r="W30" i="6"/>
  <c r="W31" i="6"/>
  <c r="H28" i="6"/>
  <c r="H29" i="6"/>
  <c r="H30" i="6"/>
  <c r="H31" i="6"/>
  <c r="L31" i="6"/>
  <c r="L28" i="6"/>
  <c r="L29" i="6"/>
  <c r="L30" i="6"/>
  <c r="P29" i="6"/>
  <c r="P30" i="6"/>
  <c r="P31" i="6"/>
  <c r="P28" i="6"/>
  <c r="G28" i="6"/>
  <c r="G29" i="6"/>
  <c r="G30" i="6"/>
  <c r="G31" i="6"/>
  <c r="T28" i="4"/>
  <c r="T31" i="4"/>
  <c r="T30" i="4"/>
  <c r="T29" i="4"/>
  <c r="F31" i="4"/>
  <c r="F30" i="4"/>
  <c r="F28" i="4"/>
  <c r="F29" i="4"/>
  <c r="Z30" i="5"/>
  <c r="Z28" i="5"/>
  <c r="Z29" i="5"/>
  <c r="Z31" i="5"/>
  <c r="S31" i="4"/>
  <c r="S29" i="4"/>
  <c r="S30" i="4"/>
  <c r="S28" i="4"/>
  <c r="W31" i="5"/>
  <c r="W29" i="5"/>
  <c r="W30" i="5"/>
  <c r="W28" i="5"/>
  <c r="T28" i="5"/>
  <c r="T31" i="5"/>
  <c r="T30" i="5"/>
  <c r="T29" i="5"/>
  <c r="S30" i="5"/>
  <c r="S29" i="5"/>
  <c r="S31" i="5"/>
  <c r="S28" i="5"/>
  <c r="L31" i="5"/>
  <c r="L29" i="5"/>
  <c r="L30" i="5"/>
  <c r="L28" i="5"/>
  <c r="P31" i="4"/>
  <c r="P30" i="4"/>
  <c r="P28" i="4"/>
  <c r="P29" i="4"/>
  <c r="E30" i="5"/>
  <c r="E31" i="5"/>
  <c r="E28" i="5"/>
  <c r="E29" i="5"/>
  <c r="G30" i="1"/>
  <c r="G29" i="1"/>
  <c r="G31" i="1"/>
  <c r="G28" i="1"/>
  <c r="H28" i="5"/>
  <c r="H31" i="5"/>
  <c r="H30" i="5"/>
  <c r="H29" i="5"/>
  <c r="O29" i="5"/>
  <c r="O31" i="5"/>
  <c r="O28" i="5"/>
  <c r="O30" i="5"/>
  <c r="U31" i="5"/>
  <c r="U28" i="5"/>
  <c r="U30" i="5"/>
  <c r="U29" i="5"/>
  <c r="N29" i="1"/>
  <c r="N30" i="1"/>
  <c r="N28" i="1"/>
  <c r="N31" i="1"/>
  <c r="N31" i="5"/>
  <c r="N30" i="5"/>
  <c r="N28" i="5"/>
  <c r="N29" i="5"/>
  <c r="N31" i="4"/>
  <c r="N29" i="4"/>
  <c r="N30" i="4"/>
  <c r="N28" i="4"/>
  <c r="G30" i="5"/>
  <c r="G29" i="5"/>
  <c r="G31" i="5"/>
  <c r="G28" i="5"/>
  <c r="Y29" i="5"/>
  <c r="Y28" i="5"/>
  <c r="Y31" i="5"/>
  <c r="Y30" i="5"/>
  <c r="P31" i="5"/>
  <c r="P28" i="5"/>
  <c r="P30" i="5"/>
  <c r="P29" i="5"/>
  <c r="M31" i="1"/>
  <c r="M30" i="1"/>
  <c r="M28" i="1"/>
  <c r="M29" i="1"/>
  <c r="G28" i="4"/>
  <c r="G29" i="4"/>
  <c r="G31" i="4"/>
  <c r="G30" i="4"/>
  <c r="J30" i="1"/>
  <c r="J29" i="1"/>
  <c r="J31" i="1"/>
  <c r="J28" i="1"/>
  <c r="Y28" i="1"/>
  <c r="Y31" i="1"/>
  <c r="Y30" i="1"/>
  <c r="Y29" i="1"/>
  <c r="L30" i="1"/>
  <c r="L31" i="1"/>
  <c r="L29" i="1"/>
  <c r="L28" i="1"/>
  <c r="R29" i="5"/>
  <c r="R30" i="5"/>
  <c r="R28" i="5"/>
  <c r="R31" i="5"/>
  <c r="Q28" i="5"/>
  <c r="Q31" i="5"/>
  <c r="Q29" i="5"/>
  <c r="Q30" i="5"/>
  <c r="V31" i="4"/>
  <c r="V30" i="4"/>
  <c r="V29" i="4"/>
  <c r="V28" i="4"/>
  <c r="E30" i="1"/>
  <c r="E28" i="1"/>
  <c r="E31" i="1"/>
  <c r="E29" i="1"/>
  <c r="D31" i="1"/>
  <c r="D30" i="1"/>
  <c r="D28" i="1"/>
  <c r="D29" i="1"/>
  <c r="S31" i="1"/>
  <c r="S30" i="1"/>
  <c r="S29" i="1"/>
  <c r="S28" i="1"/>
  <c r="Q29" i="1"/>
  <c r="Q28" i="1"/>
  <c r="Q31" i="1"/>
  <c r="Q30" i="1"/>
  <c r="U31" i="1"/>
  <c r="U29" i="1"/>
  <c r="U28" i="1"/>
  <c r="U30" i="1"/>
  <c r="X31" i="1"/>
  <c r="X28" i="1"/>
  <c r="X30" i="1"/>
  <c r="X29" i="1"/>
  <c r="F29" i="1"/>
  <c r="F31" i="1"/>
  <c r="F28" i="1"/>
  <c r="F30" i="1"/>
  <c r="X28" i="5"/>
  <c r="X31" i="5"/>
  <c r="X30" i="5"/>
  <c r="X29" i="5"/>
  <c r="O31" i="1"/>
  <c r="O30" i="1"/>
  <c r="O29" i="1"/>
  <c r="O28" i="1"/>
  <c r="H28" i="1"/>
  <c r="H31" i="1"/>
  <c r="H30" i="1"/>
  <c r="H29" i="1"/>
  <c r="W31" i="1"/>
  <c r="W30" i="1"/>
  <c r="W29" i="1"/>
  <c r="W28" i="1"/>
  <c r="Z30" i="1"/>
  <c r="Z28" i="1"/>
  <c r="Z29" i="1"/>
  <c r="Z31" i="1"/>
  <c r="L31" i="4"/>
  <c r="L30" i="4"/>
  <c r="L28" i="4"/>
  <c r="L29" i="4"/>
  <c r="R28" i="1"/>
  <c r="R29" i="1"/>
  <c r="R30" i="1"/>
  <c r="R31" i="1"/>
  <c r="J30" i="4"/>
  <c r="J31" i="4"/>
  <c r="J29" i="4"/>
  <c r="J28" i="4"/>
  <c r="V31" i="5"/>
  <c r="V29" i="5"/>
  <c r="V28" i="5"/>
  <c r="V30" i="5"/>
  <c r="O31" i="4"/>
  <c r="O30" i="4"/>
  <c r="O29" i="4"/>
  <c r="O28" i="4"/>
  <c r="M29" i="5"/>
  <c r="M30" i="5"/>
  <c r="M31" i="5"/>
  <c r="M28" i="5"/>
  <c r="T31" i="1"/>
  <c r="T28" i="1"/>
  <c r="T29" i="1"/>
  <c r="T30" i="1"/>
  <c r="D30" i="4"/>
  <c r="D31" i="4"/>
  <c r="D28" i="4"/>
  <c r="D29" i="4"/>
  <c r="H28" i="4"/>
  <c r="H29" i="4"/>
  <c r="H31" i="4"/>
  <c r="H30" i="4"/>
  <c r="I31" i="5"/>
  <c r="I29" i="5"/>
  <c r="I28" i="5"/>
  <c r="I30" i="5"/>
  <c r="P28" i="1"/>
  <c r="P31" i="1"/>
  <c r="P30" i="1"/>
  <c r="P29" i="1"/>
  <c r="K31" i="5"/>
  <c r="K28" i="5"/>
  <c r="K30" i="5"/>
  <c r="K29" i="5"/>
  <c r="F30" i="5"/>
  <c r="F29" i="5"/>
  <c r="F28" i="5"/>
  <c r="F31" i="5"/>
  <c r="Z30" i="4"/>
  <c r="Z28" i="4"/>
  <c r="Z29" i="4"/>
  <c r="Z31" i="4"/>
  <c r="K30" i="1"/>
  <c r="K29" i="1"/>
  <c r="K28" i="1"/>
  <c r="K31" i="1"/>
  <c r="U30" i="4"/>
  <c r="U29" i="4"/>
  <c r="U31" i="4"/>
  <c r="U28" i="4"/>
  <c r="M28" i="4"/>
  <c r="M31" i="4"/>
  <c r="M29" i="4"/>
  <c r="M30" i="4"/>
  <c r="R28" i="4"/>
  <c r="R31" i="4"/>
  <c r="R30" i="4"/>
  <c r="R29" i="4"/>
  <c r="X29" i="4"/>
  <c r="X30" i="4"/>
  <c r="X31" i="4"/>
  <c r="X28" i="4"/>
  <c r="E31" i="4"/>
  <c r="E30" i="4"/>
  <c r="E29" i="4"/>
  <c r="E28" i="4"/>
  <c r="Y30" i="4"/>
  <c r="Y28" i="4"/>
  <c r="Y29" i="4"/>
  <c r="Y31" i="4"/>
  <c r="V31" i="1"/>
  <c r="V29" i="1"/>
  <c r="V28" i="1"/>
  <c r="V30" i="1"/>
  <c r="J29" i="5"/>
  <c r="J28" i="5"/>
  <c r="J30" i="5"/>
  <c r="J31" i="5"/>
  <c r="I30" i="4"/>
  <c r="I29" i="4"/>
  <c r="I28" i="4"/>
  <c r="I31" i="4"/>
  <c r="K30" i="4"/>
  <c r="K31" i="4"/>
  <c r="K29" i="4"/>
  <c r="K28" i="4"/>
  <c r="D30" i="5"/>
  <c r="D31" i="5"/>
  <c r="D29" i="5"/>
  <c r="D28" i="5"/>
  <c r="Q31" i="4"/>
  <c r="Q30" i="4"/>
  <c r="Q28" i="4"/>
  <c r="Q29" i="4"/>
  <c r="I31" i="1"/>
  <c r="I29" i="1"/>
  <c r="I28" i="1"/>
  <c r="I30" i="1"/>
  <c r="W31" i="4"/>
  <c r="W29" i="4"/>
  <c r="W28" i="4"/>
  <c r="W3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<sst xmlns="http://schemas.openxmlformats.org/spreadsheetml/2006/main" count="673" uniqueCount="130">
  <si>
    <t>Test case description</t>
  </si>
  <si>
    <t xml:space="preserve"> </t>
  </si>
  <si>
    <t>Numerology index (μ)</t>
  </si>
  <si>
    <t>Layers (ν)</t>
  </si>
  <si>
    <t>Number of PRBs per user</t>
  </si>
  <si>
    <t>PDSCH symbols per slot</t>
  </si>
  <si>
    <t>PDSCH DMRS symbols per slot</t>
  </si>
  <si>
    <t>max length</t>
  </si>
  <si>
    <t>additional position</t>
  </si>
  <si>
    <t>Modulation order (Qm)</t>
  </si>
  <si>
    <t>Target code rate (R x 1024)</t>
  </si>
  <si>
    <t>Cells</t>
  </si>
  <si>
    <t>Total users</t>
  </si>
  <si>
    <t>Layers per user</t>
  </si>
  <si>
    <t>DL/UL Duplexing</t>
  </si>
  <si>
    <t>FDD</t>
  </si>
  <si>
    <t>TDD pattern</t>
  </si>
  <si>
    <t>N/A</t>
  </si>
  <si>
    <t>Special slot</t>
  </si>
  <si>
    <t>DCI format</t>
  </si>
  <si>
    <t>Radio environment</t>
  </si>
  <si>
    <t>Channel model</t>
  </si>
  <si>
    <t>FF</t>
  </si>
  <si>
    <t>Maximum Doppler shift</t>
  </si>
  <si>
    <t>SNR</t>
  </si>
  <si>
    <t>40dB</t>
  </si>
  <si>
    <t>LDPC parameters</t>
  </si>
  <si>
    <t>Lifting size per user (Z)</t>
  </si>
  <si>
    <t>Transport block size per user</t>
  </si>
  <si>
    <t>Codeblocks per user (C)</t>
  </si>
  <si>
    <t>Parity check nodes</t>
  </si>
  <si>
    <t>TDD</t>
  </si>
  <si>
    <t>RF chains</t>
  </si>
  <si>
    <t>PUSCH symbols per slot</t>
  </si>
  <si>
    <t>PUSCH DMRS symbols per slot</t>
  </si>
  <si>
    <t>Bandwidth (MHz)</t>
  </si>
  <si>
    <t>F14-US-02</t>
  </si>
  <si>
    <t>F14-US-03</t>
  </si>
  <si>
    <t>F14-US-04</t>
  </si>
  <si>
    <t>F14-US-05</t>
  </si>
  <si>
    <t>F14-US-06</t>
  </si>
  <si>
    <t>F14-US-07</t>
  </si>
  <si>
    <t>F14-US-08</t>
  </si>
  <si>
    <t>F14-US-09</t>
  </si>
  <si>
    <t>F14-US-10</t>
  </si>
  <si>
    <t>F14-US-11</t>
  </si>
  <si>
    <t>F14-US-12</t>
  </si>
  <si>
    <t>F14-US-13</t>
  </si>
  <si>
    <t>F14-US-14</t>
  </si>
  <si>
    <t>F14-US-15</t>
  </si>
  <si>
    <t>F14-US-16</t>
  </si>
  <si>
    <t>F14-US-17</t>
  </si>
  <si>
    <t>F14-US-18</t>
  </si>
  <si>
    <t>F14-US-19</t>
  </si>
  <si>
    <t>F14-US-20</t>
  </si>
  <si>
    <t>F14-US-21</t>
  </si>
  <si>
    <t>F14-US-22</t>
  </si>
  <si>
    <t>F14-US-23</t>
  </si>
  <si>
    <t>F14-US-01</t>
  </si>
  <si>
    <t>F14-DS-01</t>
  </si>
  <si>
    <t>F14-DS-02</t>
  </si>
  <si>
    <t>F14-DS-03</t>
  </si>
  <si>
    <t>F14-DS-04</t>
  </si>
  <si>
    <t>F14-DS-05</t>
  </si>
  <si>
    <t>F14-DS-06</t>
  </si>
  <si>
    <t>F14-DS-07</t>
  </si>
  <si>
    <t>F14-DS-08</t>
  </si>
  <si>
    <t>F14-DS-09</t>
  </si>
  <si>
    <t>F14-DS-10</t>
  </si>
  <si>
    <t>F14-DS-11</t>
  </si>
  <si>
    <t>F14-DS-12</t>
  </si>
  <si>
    <t>F14-DS-13</t>
  </si>
  <si>
    <t>F14-DS-14</t>
  </si>
  <si>
    <t>F14-DS-15</t>
  </si>
  <si>
    <t>F14-DS-16</t>
  </si>
  <si>
    <t>F14-DS-17</t>
  </si>
  <si>
    <t>F14-DS-18</t>
  </si>
  <si>
    <t>F14-DS-19</t>
  </si>
  <si>
    <t>F14-DS-20</t>
  </si>
  <si>
    <t>F14-DS-21</t>
  </si>
  <si>
    <t>F14-DS-22</t>
  </si>
  <si>
    <t>F14-DS-23</t>
  </si>
  <si>
    <t>F01-US-01</t>
  </si>
  <si>
    <t>F01-US-02</t>
  </si>
  <si>
    <t>F01-US-03</t>
  </si>
  <si>
    <t>F01-US-04</t>
  </si>
  <si>
    <t>F01-US-05</t>
  </si>
  <si>
    <t>F01-US-06</t>
  </si>
  <si>
    <t>F01-US-07</t>
  </si>
  <si>
    <t>F01-US-08</t>
  </si>
  <si>
    <t>F01-US-09</t>
  </si>
  <si>
    <t>F01-US-10</t>
  </si>
  <si>
    <t>F01-US-11</t>
  </si>
  <si>
    <t>F01-US-12</t>
  </si>
  <si>
    <t>F01-US-13</t>
  </si>
  <si>
    <t>F01-US-14</t>
  </si>
  <si>
    <t>F01-US-15</t>
  </si>
  <si>
    <t>F01-US-16</t>
  </si>
  <si>
    <t>F01-US-17</t>
  </si>
  <si>
    <t>F01-US-18</t>
  </si>
  <si>
    <t>F01-US-19</t>
  </si>
  <si>
    <t>F01-US-20</t>
  </si>
  <si>
    <t>F01-US-21</t>
  </si>
  <si>
    <t>F01-US-22</t>
  </si>
  <si>
    <t>F01-US-23</t>
  </si>
  <si>
    <t>F01-DS-01</t>
  </si>
  <si>
    <t>F01-DS-02</t>
  </si>
  <si>
    <t>F01-DS-03</t>
  </si>
  <si>
    <t>F01-DS-04</t>
  </si>
  <si>
    <t>F01-DS-05</t>
  </si>
  <si>
    <t>F01-DS-06</t>
  </si>
  <si>
    <t>F01-DS-07</t>
  </si>
  <si>
    <t>F01-DS-08</t>
  </si>
  <si>
    <t>F01-DS-09</t>
  </si>
  <si>
    <t>F01-DS-10</t>
  </si>
  <si>
    <t>F01-DS-11</t>
  </si>
  <si>
    <t>F01-DS-12</t>
  </si>
  <si>
    <t>F01-DS-13</t>
  </si>
  <si>
    <t>F01-DS-14</t>
  </si>
  <si>
    <t>F01-DS-15</t>
  </si>
  <si>
    <t>F01-DS-16</t>
  </si>
  <si>
    <t>F01-DS-17</t>
  </si>
  <si>
    <t>F01-DS-18</t>
  </si>
  <si>
    <t>F01-DS-19</t>
  </si>
  <si>
    <t>F01-DS-20</t>
  </si>
  <si>
    <t>F01-DS-21</t>
  </si>
  <si>
    <t>F01-DS-22</t>
  </si>
  <si>
    <t>F01-DS-23</t>
  </si>
  <si>
    <t>MCS table</t>
  </si>
  <si>
    <t>MCS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</si>
</sst>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5717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D9D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0" fillId="2" borderId="0" xfId="0" applyFont="1" applyFill="1" applyAlignment="1">
      <alignment horizontal="left" indent="1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0" fillId="4" borderId="0" xfId="0" applyFont="1" applyFill="1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ont="1" applyFill="1" applyAlignment="1">
      <alignment horizontal="left" indent="1"/>
    </xf>
    <xf numFmtId="0" fontId="0" fillId="3" borderId="0" xfId="0" applyFill="1" applyAlignment="1">
      <alignment horizontal="right"/>
    </xf>
    <xf numFmtId="0" fontId="0" fillId="0" borderId="0" xfId="0" applyFont="1" applyFill="1" applyAlignment="1">
      <alignment horizontal="right"/>
    </xf>
    <xf numFmtId="0" fontId="0" fillId="4" borderId="0" xfId="0" applyFont="1" applyFill="1" applyAlignment="1">
      <alignment horizontal="left" indent="2"/>
    </xf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ont="1" applyFill="1" applyAlignment="1">
      <alignment horizontal="right"/>
    </xf>
    <xf numFmtId="0" fontId="2" fillId="3" borderId="0" xfId="0" applyFont="1" applyFill="1" applyAlignment="1">
      <alignment horizontal="right"/>
    </xf>
    <xf numFmtId="0" fontId="5" fillId="6" borderId="0" xfId="0" applyFont="1" applyFill="1" applyAlignment="1">
      <alignment horizontal="right"/>
    </xf>
    <xf numFmtId="0" fontId="4" fillId="6" borderId="0" xfId="0" applyFont="1" applyFill="1" applyAlignment="1">
      <alignment horizontal="right"/>
    </xf>
    <xf numFmtId="0" fontId="4" fillId="7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0" fillId="8" borderId="0" xfId="0" applyFont="1" applyFill="1" applyAlignment="1">
      <alignment horizontal="left" indent="1"/>
    </xf>
    <xf numFmtId="0" fontId="0" fillId="8" borderId="0" xfId="0" applyFill="1"/>
    <xf numFmtId="0" fontId="0" fillId="8" borderId="0" xfId="0" applyFont="1" applyFill="1" applyAlignment="1">
      <alignment horizontal="right"/>
    </xf>
  </cellXfs>
  <cellStyles count="2">
    <cellStyle name="Normal" xfId="0" builtinId="0"/>
    <cellStyle name="Normal 2" xfId="1" xr:uid="{4B40AC08-3DF9-FB46-85A0-B8939A6D5E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DED86-C4EA-49A7-B6D2-5A69AC543C82}">
  <sheetPr codeName="Sheet4"/>
  <dimension ref="B2:Z36"/>
  <sheetViews>
    <sheetView zoomScale="130" zoomScaleNormal="130" workbookViewId="0">
      <selection activeCell="D26" sqref="D26:Z31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6" width="12.6640625" customWidth="1"/>
  </cols>
  <sheetData>
    <row r="2" spans="2:26" x14ac:dyDescent="0.2">
      <c r="B2" s="3" t="s">
        <v>0</v>
      </c>
      <c r="C2" s="7" t="s">
        <v>1</v>
      </c>
      <c r="D2" s="12" t="s">
        <v>105</v>
      </c>
      <c r="E2" s="17" t="s">
        <v>106</v>
      </c>
      <c r="F2" s="18" t="s">
        <v>107</v>
      </c>
      <c r="G2" s="18" t="s">
        <v>108</v>
      </c>
      <c r="H2" s="12" t="s">
        <v>109</v>
      </c>
      <c r="I2" s="18" t="s">
        <v>110</v>
      </c>
      <c r="J2" s="18" t="s">
        <v>111</v>
      </c>
      <c r="K2" s="18" t="s">
        <v>112</v>
      </c>
      <c r="L2" s="18" t="s">
        <v>113</v>
      </c>
      <c r="M2" s="18" t="s">
        <v>114</v>
      </c>
      <c r="N2" s="18" t="s">
        <v>115</v>
      </c>
      <c r="O2" s="18" t="s">
        <v>116</v>
      </c>
      <c r="P2" s="18" t="s">
        <v>117</v>
      </c>
      <c r="Q2" s="18" t="s">
        <v>118</v>
      </c>
      <c r="R2" s="18" t="s">
        <v>119</v>
      </c>
      <c r="S2" s="18" t="s">
        <v>120</v>
      </c>
      <c r="T2" s="18" t="s">
        <v>121</v>
      </c>
      <c r="U2" s="18" t="s">
        <v>122</v>
      </c>
      <c r="V2" s="18" t="s">
        <v>123</v>
      </c>
      <c r="W2" s="18" t="s">
        <v>124</v>
      </c>
      <c r="X2" s="18" t="s">
        <v>125</v>
      </c>
      <c r="Y2" s="18" t="s">
        <v>126</v>
      </c>
      <c r="Z2" s="12" t="s">
        <v>127</v>
      </c>
    </row>
    <row r="3" spans="2:26" x14ac:dyDescent="0.2">
      <c r="B3" s="4" t="s">
        <v>35</v>
      </c>
      <c r="C3" s="7"/>
      <c r="D3" s="6">
        <v>20</v>
      </c>
      <c r="E3" s="15">
        <v>20</v>
      </c>
      <c r="F3" s="15">
        <v>20</v>
      </c>
      <c r="G3" s="15">
        <v>20</v>
      </c>
      <c r="H3" s="6">
        <v>20</v>
      </c>
      <c r="I3" s="15">
        <v>20</v>
      </c>
      <c r="J3" s="15">
        <v>20</v>
      </c>
      <c r="K3" s="20">
        <v>20</v>
      </c>
      <c r="L3" s="20">
        <v>20</v>
      </c>
      <c r="M3" s="20">
        <v>20</v>
      </c>
      <c r="N3" s="20">
        <v>20</v>
      </c>
      <c r="O3" s="20">
        <v>20</v>
      </c>
      <c r="P3" s="15">
        <v>20</v>
      </c>
      <c r="Q3" s="6">
        <v>20</v>
      </c>
      <c r="R3" s="20">
        <v>20</v>
      </c>
      <c r="S3" s="20">
        <v>20</v>
      </c>
      <c r="T3" s="6">
        <v>20</v>
      </c>
      <c r="U3" s="20">
        <v>20</v>
      </c>
      <c r="V3" s="20">
        <v>20</v>
      </c>
      <c r="W3" s="15">
        <v>20</v>
      </c>
      <c r="X3" s="20">
        <v>20</v>
      </c>
      <c r="Y3" s="20">
        <v>20</v>
      </c>
      <c r="Z3" s="6">
        <v>20</v>
      </c>
    </row>
    <row r="4" spans="2:26" x14ac:dyDescent="0.2">
      <c r="B4" s="5" t="s">
        <v>2</v>
      </c>
      <c r="C4" s="7"/>
      <c r="D4" s="6">
        <v>0</v>
      </c>
      <c r="E4" s="15">
        <v>0</v>
      </c>
      <c r="F4" s="15">
        <v>0</v>
      </c>
      <c r="G4" s="15">
        <v>0</v>
      </c>
      <c r="H4" s="7">
        <v>0</v>
      </c>
      <c r="I4" s="15">
        <v>0</v>
      </c>
      <c r="J4" s="15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15">
        <v>0</v>
      </c>
      <c r="Q4" s="7">
        <v>0</v>
      </c>
      <c r="R4" s="20">
        <v>0</v>
      </c>
      <c r="S4" s="20">
        <v>0</v>
      </c>
      <c r="T4" s="6">
        <v>0</v>
      </c>
      <c r="U4" s="20">
        <v>0</v>
      </c>
      <c r="V4" s="20">
        <v>0</v>
      </c>
      <c r="W4" s="15">
        <v>0</v>
      </c>
      <c r="X4" s="20">
        <v>0</v>
      </c>
      <c r="Y4" s="20">
        <v>0</v>
      </c>
      <c r="Z4" s="7">
        <v>0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15">
        <v>4</v>
      </c>
      <c r="J5" s="15">
        <v>4</v>
      </c>
      <c r="K5" s="20">
        <v>4</v>
      </c>
      <c r="L5" s="20">
        <v>4</v>
      </c>
      <c r="M5" s="20">
        <v>4</v>
      </c>
      <c r="N5" s="20">
        <v>4</v>
      </c>
      <c r="O5" s="20">
        <v>4</v>
      </c>
      <c r="P5" s="15">
        <v>4</v>
      </c>
      <c r="Q5" s="6">
        <v>4</v>
      </c>
      <c r="R5" s="20">
        <v>4</v>
      </c>
      <c r="S5" s="20">
        <v>4</v>
      </c>
      <c r="T5" s="6">
        <v>4</v>
      </c>
      <c r="U5" s="20">
        <v>4</v>
      </c>
      <c r="V5" s="20">
        <v>4</v>
      </c>
      <c r="W5" s="15">
        <v>4</v>
      </c>
      <c r="X5" s="20">
        <v>4</v>
      </c>
      <c r="Y5" s="20">
        <v>4</v>
      </c>
      <c r="Z5" s="6">
        <v>4</v>
      </c>
    </row>
    <row r="6" spans="2:26" x14ac:dyDescent="0.2">
      <c r="B6" s="5" t="s">
        <v>3</v>
      </c>
      <c r="C6" s="7"/>
      <c r="D6" s="6">
        <v>4</v>
      </c>
      <c r="E6" s="15">
        <v>4</v>
      </c>
      <c r="F6" s="15">
        <v>4</v>
      </c>
      <c r="G6" s="15">
        <v>4</v>
      </c>
      <c r="H6" s="7">
        <v>4</v>
      </c>
      <c r="I6" s="15">
        <v>4</v>
      </c>
      <c r="J6" s="15">
        <v>4</v>
      </c>
      <c r="K6" s="20">
        <v>4</v>
      </c>
      <c r="L6" s="20">
        <v>4</v>
      </c>
      <c r="M6" s="20">
        <v>4</v>
      </c>
      <c r="N6" s="20">
        <v>4</v>
      </c>
      <c r="O6" s="20">
        <v>4</v>
      </c>
      <c r="P6" s="15">
        <v>4</v>
      </c>
      <c r="Q6" s="7">
        <v>4</v>
      </c>
      <c r="R6" s="20">
        <v>4</v>
      </c>
      <c r="S6" s="20">
        <v>4</v>
      </c>
      <c r="T6" s="6">
        <v>4</v>
      </c>
      <c r="U6" s="20">
        <v>4</v>
      </c>
      <c r="V6" s="20">
        <v>4</v>
      </c>
      <c r="W6" s="15">
        <v>4</v>
      </c>
      <c r="X6" s="20">
        <v>4</v>
      </c>
      <c r="Y6" s="20">
        <v>4</v>
      </c>
      <c r="Z6" s="7">
        <v>4</v>
      </c>
    </row>
    <row r="7" spans="2:26" x14ac:dyDescent="0.2">
      <c r="B7" s="4" t="s">
        <v>4</v>
      </c>
      <c r="C7" s="7"/>
      <c r="D7" s="6">
        <v>106</v>
      </c>
      <c r="E7" s="15">
        <v>106</v>
      </c>
      <c r="F7" s="15">
        <v>106</v>
      </c>
      <c r="G7" s="15">
        <v>106</v>
      </c>
      <c r="H7" s="6">
        <v>106</v>
      </c>
      <c r="I7" s="15">
        <v>106</v>
      </c>
      <c r="J7" s="15">
        <v>106</v>
      </c>
      <c r="K7" s="20">
        <v>106</v>
      </c>
      <c r="L7" s="20">
        <v>106</v>
      </c>
      <c r="M7" s="20">
        <v>106</v>
      </c>
      <c r="N7" s="20">
        <v>106</v>
      </c>
      <c r="O7" s="20">
        <v>106</v>
      </c>
      <c r="P7" s="15">
        <v>106</v>
      </c>
      <c r="Q7" s="6">
        <v>106</v>
      </c>
      <c r="R7" s="20">
        <v>106</v>
      </c>
      <c r="S7" s="20">
        <v>106</v>
      </c>
      <c r="T7" s="6">
        <v>106</v>
      </c>
      <c r="U7" s="20">
        <v>106</v>
      </c>
      <c r="V7" s="20">
        <v>106</v>
      </c>
      <c r="W7" s="15">
        <v>106</v>
      </c>
      <c r="X7" s="20">
        <v>106</v>
      </c>
      <c r="Y7" s="20">
        <v>106</v>
      </c>
      <c r="Z7" s="6">
        <v>106</v>
      </c>
    </row>
    <row r="8" spans="2:26" x14ac:dyDescent="0.2">
      <c r="B8" s="4" t="s">
        <v>5</v>
      </c>
      <c r="C8" s="7"/>
      <c r="D8" s="6">
        <v>12</v>
      </c>
      <c r="E8" s="15">
        <v>12</v>
      </c>
      <c r="F8" s="15">
        <v>12</v>
      </c>
      <c r="G8" s="15">
        <v>12</v>
      </c>
      <c r="H8" s="7">
        <v>12</v>
      </c>
      <c r="I8" s="15">
        <v>12</v>
      </c>
      <c r="J8" s="15">
        <v>12</v>
      </c>
      <c r="K8" s="20">
        <v>12</v>
      </c>
      <c r="L8" s="20">
        <v>12</v>
      </c>
      <c r="M8" s="20">
        <v>12</v>
      </c>
      <c r="N8" s="20">
        <v>12</v>
      </c>
      <c r="O8" s="20">
        <v>12</v>
      </c>
      <c r="P8" s="15">
        <v>12</v>
      </c>
      <c r="Q8" s="7">
        <v>12</v>
      </c>
      <c r="R8" s="20">
        <v>12</v>
      </c>
      <c r="S8" s="20">
        <v>12</v>
      </c>
      <c r="T8" s="6">
        <v>12</v>
      </c>
      <c r="U8" s="20">
        <v>12</v>
      </c>
      <c r="V8" s="20">
        <v>12</v>
      </c>
      <c r="W8" s="15">
        <v>12</v>
      </c>
      <c r="X8" s="20">
        <v>12</v>
      </c>
      <c r="Y8" s="20">
        <v>12</v>
      </c>
      <c r="Z8" s="7">
        <v>12</v>
      </c>
    </row>
    <row r="9" spans="2:26" x14ac:dyDescent="0.2">
      <c r="B9" s="4" t="s">
        <v>6</v>
      </c>
      <c r="C9" s="7"/>
      <c r="D9" s="6">
        <v>1</v>
      </c>
      <c r="E9" s="15">
        <v>1</v>
      </c>
      <c r="F9" s="15">
        <v>1</v>
      </c>
      <c r="G9" s="15">
        <v>1</v>
      </c>
      <c r="H9" s="7">
        <v>1</v>
      </c>
      <c r="I9" s="15">
        <v>1</v>
      </c>
      <c r="J9" s="15">
        <v>1</v>
      </c>
      <c r="K9" s="20">
        <v>1</v>
      </c>
      <c r="L9" s="20">
        <v>1</v>
      </c>
      <c r="M9" s="20">
        <v>1</v>
      </c>
      <c r="N9" s="20">
        <v>1</v>
      </c>
      <c r="O9" s="20">
        <v>1</v>
      </c>
      <c r="P9" s="15">
        <v>1</v>
      </c>
      <c r="Q9" s="7">
        <v>1</v>
      </c>
      <c r="R9" s="20">
        <v>1</v>
      </c>
      <c r="S9" s="20">
        <v>1</v>
      </c>
      <c r="T9" s="6">
        <v>1</v>
      </c>
      <c r="U9" s="20">
        <v>1</v>
      </c>
      <c r="V9" s="20">
        <v>1</v>
      </c>
      <c r="W9" s="15">
        <v>1</v>
      </c>
      <c r="X9" s="20">
        <v>1</v>
      </c>
      <c r="Y9" s="20">
        <v>1</v>
      </c>
      <c r="Z9" s="7">
        <v>1</v>
      </c>
    </row>
    <row r="10" spans="2:26" x14ac:dyDescent="0.2">
      <c r="B10" s="11" t="s">
        <v>7</v>
      </c>
      <c r="C10" s="7"/>
      <c r="D10" s="6">
        <v>1</v>
      </c>
      <c r="E10" s="15">
        <v>1</v>
      </c>
      <c r="F10" s="15">
        <v>1</v>
      </c>
      <c r="G10" s="15">
        <v>1</v>
      </c>
      <c r="H10" s="7">
        <v>1</v>
      </c>
      <c r="I10" s="15">
        <v>1</v>
      </c>
      <c r="J10" s="15">
        <v>1</v>
      </c>
      <c r="K10" s="20">
        <v>1</v>
      </c>
      <c r="L10" s="20">
        <v>1</v>
      </c>
      <c r="M10" s="20">
        <v>1</v>
      </c>
      <c r="N10" s="20">
        <v>1</v>
      </c>
      <c r="O10" s="20">
        <v>1</v>
      </c>
      <c r="P10" s="15">
        <v>1</v>
      </c>
      <c r="Q10" s="7">
        <v>1</v>
      </c>
      <c r="R10" s="20">
        <v>1</v>
      </c>
      <c r="S10" s="20">
        <v>1</v>
      </c>
      <c r="T10" s="6">
        <v>1</v>
      </c>
      <c r="U10" s="20">
        <v>1</v>
      </c>
      <c r="V10" s="20">
        <v>1</v>
      </c>
      <c r="W10" s="15">
        <v>1</v>
      </c>
      <c r="X10" s="20">
        <v>1</v>
      </c>
      <c r="Y10" s="20">
        <v>1</v>
      </c>
      <c r="Z10" s="7">
        <v>1</v>
      </c>
    </row>
    <row r="11" spans="2:26" x14ac:dyDescent="0.2">
      <c r="B11" s="11" t="s">
        <v>8</v>
      </c>
      <c r="C11" s="7"/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15">
        <v>0</v>
      </c>
      <c r="J11" s="15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20">
        <v>0</v>
      </c>
      <c r="V11" s="20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128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129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C14" s="7"/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15">
        <v>1</v>
      </c>
      <c r="J14" s="15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20">
        <v>1</v>
      </c>
      <c r="V14" s="20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C15" s="7"/>
      <c r="D15" s="6">
        <v>1</v>
      </c>
      <c r="E15" s="15">
        <v>1</v>
      </c>
      <c r="F15" s="15">
        <v>1</v>
      </c>
      <c r="G15" s="15">
        <v>1</v>
      </c>
      <c r="H15" s="7">
        <v>1</v>
      </c>
      <c r="I15" s="15">
        <v>1</v>
      </c>
      <c r="J15" s="15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15">
        <v>1</v>
      </c>
      <c r="Q15" s="7">
        <v>1</v>
      </c>
      <c r="R15" s="20">
        <v>1</v>
      </c>
      <c r="S15" s="20">
        <v>1</v>
      </c>
      <c r="T15" s="6">
        <v>1</v>
      </c>
      <c r="U15" s="20">
        <v>1</v>
      </c>
      <c r="V15" s="20">
        <v>1</v>
      </c>
      <c r="W15" s="15">
        <v>1</v>
      </c>
      <c r="X15" s="20">
        <v>1</v>
      </c>
      <c r="Y15" s="20">
        <v>1</v>
      </c>
      <c r="Z15" s="7">
        <v>1</v>
      </c>
    </row>
    <row r="16" spans="2:26" x14ac:dyDescent="0.2">
      <c r="B16" s="4" t="s">
        <v>13</v>
      </c>
      <c r="C16" s="7"/>
      <c r="D16" s="6">
        <v>4</v>
      </c>
      <c r="E16" s="15">
        <v>4</v>
      </c>
      <c r="F16" s="15">
        <v>4</v>
      </c>
      <c r="G16" s="15">
        <v>4</v>
      </c>
      <c r="H16" s="7">
        <v>4</v>
      </c>
      <c r="I16" s="15">
        <v>4</v>
      </c>
      <c r="J16" s="15">
        <v>4</v>
      </c>
      <c r="K16" s="20">
        <v>4</v>
      </c>
      <c r="L16" s="20">
        <v>4</v>
      </c>
      <c r="M16" s="20">
        <v>4</v>
      </c>
      <c r="N16" s="20">
        <v>4</v>
      </c>
      <c r="O16" s="20">
        <v>4</v>
      </c>
      <c r="P16" s="15">
        <v>4</v>
      </c>
      <c r="Q16" s="7">
        <v>4</v>
      </c>
      <c r="R16" s="20">
        <v>4</v>
      </c>
      <c r="S16" s="20">
        <v>4</v>
      </c>
      <c r="T16" s="6">
        <v>4</v>
      </c>
      <c r="U16" s="20">
        <v>4</v>
      </c>
      <c r="V16" s="20">
        <v>4</v>
      </c>
      <c r="W16" s="15">
        <v>4</v>
      </c>
      <c r="X16" s="20">
        <v>4</v>
      </c>
      <c r="Y16" s="20">
        <v>4</v>
      </c>
      <c r="Z16" s="7">
        <v>4</v>
      </c>
    </row>
    <row r="17" spans="2:26" x14ac:dyDescent="0.2">
      <c r="B17" s="4" t="s">
        <v>14</v>
      </c>
      <c r="C17" s="7"/>
      <c r="D17" s="6" t="s">
        <v>15</v>
      </c>
      <c r="E17" s="15" t="s">
        <v>15</v>
      </c>
      <c r="F17" s="15" t="s">
        <v>15</v>
      </c>
      <c r="G17" s="15" t="s">
        <v>15</v>
      </c>
      <c r="H17" s="6" t="s">
        <v>15</v>
      </c>
      <c r="I17" s="15" t="s">
        <v>15</v>
      </c>
      <c r="J17" s="15" t="s">
        <v>15</v>
      </c>
      <c r="K17" s="20" t="s">
        <v>15</v>
      </c>
      <c r="L17" s="20" t="s">
        <v>15</v>
      </c>
      <c r="M17" s="20" t="s">
        <v>15</v>
      </c>
      <c r="N17" s="20" t="s">
        <v>15</v>
      </c>
      <c r="O17" s="20" t="s">
        <v>15</v>
      </c>
      <c r="P17" s="15" t="s">
        <v>15</v>
      </c>
      <c r="Q17" s="6" t="s">
        <v>15</v>
      </c>
      <c r="R17" s="20" t="s">
        <v>15</v>
      </c>
      <c r="S17" s="20" t="s">
        <v>15</v>
      </c>
      <c r="T17" s="6" t="s">
        <v>15</v>
      </c>
      <c r="U17" s="20" t="s">
        <v>15</v>
      </c>
      <c r="V17" s="20" t="s">
        <v>15</v>
      </c>
      <c r="W17" s="15" t="s">
        <v>15</v>
      </c>
      <c r="X17" s="20" t="s">
        <v>15</v>
      </c>
      <c r="Y17" s="20" t="s">
        <v>15</v>
      </c>
      <c r="Z17" s="6" t="s">
        <v>15</v>
      </c>
    </row>
    <row r="18" spans="2:26" x14ac:dyDescent="0.2">
      <c r="B18" s="11" t="s">
        <v>16</v>
      </c>
      <c r="C18" s="7"/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15" t="s">
        <v>17</v>
      </c>
      <c r="J18" s="15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20" t="s">
        <v>17</v>
      </c>
      <c r="V18" s="20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C19" s="7"/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15" t="s">
        <v>17</v>
      </c>
      <c r="J19" s="15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20" t="s">
        <v>17</v>
      </c>
      <c r="V19" s="20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C20" s="7"/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15">
        <v>1</v>
      </c>
      <c r="J20" s="15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20">
        <v>1</v>
      </c>
      <c r="V20" s="20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C21" s="7"/>
      <c r="D21" s="9"/>
      <c r="E21" s="9"/>
      <c r="F21" s="9"/>
      <c r="G21" s="9"/>
      <c r="H21" s="9"/>
      <c r="I21" s="9"/>
      <c r="J21" s="9"/>
      <c r="K21" s="19"/>
      <c r="L21" s="19"/>
      <c r="M21" s="19"/>
      <c r="N21" s="19"/>
      <c r="O21" s="19"/>
      <c r="P21" s="9"/>
      <c r="Q21" s="9"/>
      <c r="R21" s="19"/>
      <c r="S21" s="19"/>
      <c r="T21" s="9"/>
      <c r="U21" s="19"/>
      <c r="V21" s="19"/>
      <c r="W21" s="9"/>
      <c r="X21" s="19"/>
      <c r="Y21" s="19"/>
      <c r="Z21" s="9"/>
    </row>
    <row r="22" spans="2:26" x14ac:dyDescent="0.2">
      <c r="B22" s="8" t="s">
        <v>21</v>
      </c>
      <c r="C22" s="7"/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15" t="s">
        <v>22</v>
      </c>
      <c r="J22" s="15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20" t="s">
        <v>22</v>
      </c>
      <c r="V22" s="20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C23" s="7"/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15">
        <v>0</v>
      </c>
      <c r="J23" s="15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20">
        <v>0</v>
      </c>
      <c r="V23" s="20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C24" s="7"/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15" t="s">
        <v>25</v>
      </c>
      <c r="J24" s="15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20" t="s">
        <v>25</v>
      </c>
      <c r="V24" s="20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C25" s="7"/>
      <c r="D25" s="9"/>
      <c r="E25" s="9"/>
      <c r="F25" s="9"/>
      <c r="G25" s="9"/>
      <c r="H25" s="9"/>
      <c r="I25" s="9"/>
      <c r="J25" s="9"/>
      <c r="K25" s="19"/>
      <c r="L25" s="19"/>
      <c r="M25" s="19"/>
      <c r="N25" s="19"/>
      <c r="O25" s="19"/>
      <c r="P25" s="9"/>
      <c r="Q25" s="9"/>
      <c r="R25" s="19"/>
      <c r="S25" s="19"/>
      <c r="T25" s="9"/>
      <c r="U25" s="19"/>
      <c r="V25" s="19"/>
      <c r="W25" s="9"/>
      <c r="X25" s="19"/>
      <c r="Y25" s="19"/>
      <c r="Z25" s="9"/>
    </row>
    <row r="26" spans="2:26" x14ac:dyDescent="0.2">
      <c r="B26" s="22" t="s">
        <v>9</v>
      </c>
      <c r="C26" s="7"/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C27" s="7"/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C28" s="7"/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C29" s="7"/>
      <c r="D29" s="10" cm="1">
        <f t="array" ref="D29">Comm_TBS(D7, D26, D27, D8, D9, D6/D15)</f>
        <v>417976</v>
      </c>
      <c r="E29" s="16" cm="1">
        <f t="array" ref="E29">Comm_TBS(E7, E26, E27, E8, E9, E6/E15)</f>
        <v>401640</v>
      </c>
      <c r="F29" s="16" cm="1">
        <f t="array" ref="F29">Comm_TBS(F7, F26, F27, F8, F9, F6/F15)</f>
        <v>385272</v>
      </c>
      <c r="G29" s="16" cm="1">
        <f t="array" ref="G29">Comm_TBS(G7, G26, G27, G8, G9, G6/G15)</f>
        <v>368872</v>
      </c>
      <c r="H29" s="10" cm="1">
        <f t="array" ref="H29">Comm_TBS(H7, H26, H27, H8, H9, H6/H15)</f>
        <v>352440</v>
      </c>
      <c r="I29" s="16" cm="1">
        <f t="array" ref="I29">Comm_TBS(I7, I26, I27, I8, I9, I6/I15)</f>
        <v>327888</v>
      </c>
      <c r="J29" s="16" cm="1">
        <f t="array" ref="J29">Comm_TBS(J7, J26, J27, J8, J9, J6/J15)</f>
        <v>311368</v>
      </c>
      <c r="K29" s="16" cm="1">
        <f t="array" ref="K29">Comm_TBS(K7, K26, K27, K8, K9, K6/K15)</f>
        <v>295176</v>
      </c>
      <c r="L29" s="16" cm="1">
        <f t="array" ref="L29">Comm_TBS(L7, L26, L27, L8, L9, L6/L15)</f>
        <v>286976</v>
      </c>
      <c r="M29" s="16" cm="1">
        <f t="array" ref="M29">Comm_TBS(M7, M26, M27, M8, M9, M6/M15)</f>
        <v>270576</v>
      </c>
      <c r="N29" s="16" cm="1">
        <f t="array" ref="N29">Comm_TBS(N7, N26, N27, N8, N9, N6/N15)</f>
        <v>254176</v>
      </c>
      <c r="O29" s="16" cm="1">
        <f t="array" ref="O29">Comm_TBS(O7, O26, O27, O8, O9, O6/O15)</f>
        <v>237776</v>
      </c>
      <c r="P29" s="16" cm="1">
        <f t="array" ref="P29">Comm_TBS(P7, P26, P27, P8, P9, P6/P15)</f>
        <v>217128</v>
      </c>
      <c r="Q29" s="10" cm="1">
        <f t="array" ref="Q29">Comm_TBS(Q7, Q26, Q27, Q8, Q9, Q6/Q15)</f>
        <v>200808</v>
      </c>
      <c r="R29" s="16" cm="1">
        <f t="array" ref="R29">Comm_TBS(R7, R26, R27, R8, R9, R6/R15)</f>
        <v>184424</v>
      </c>
      <c r="S29" s="16" cm="1">
        <f t="array" ref="S29">Comm_TBS(S7, S26, S27, S8, S9, S6/S15)</f>
        <v>167976</v>
      </c>
      <c r="T29" s="10" cm="1">
        <f t="array" ref="T29">Comm_TBS(T7, T26, T27, T8, T9, T6/T15)</f>
        <v>151608</v>
      </c>
      <c r="U29" s="16" cm="1">
        <f t="array" ref="U29">Comm_TBS(U7, U26, U27, U8, U9, U6/U15)</f>
        <v>143400</v>
      </c>
      <c r="V29" s="16" cm="1">
        <f t="array" ref="V29">Comm_TBS(V7, V26, V27, V8, V9, V6/V15)</f>
        <v>135296</v>
      </c>
      <c r="W29" s="16" cm="1">
        <f t="array" ref="W29">Comm_TBS(W7, W26, W27, W8, W9, W6/W15)</f>
        <v>120936</v>
      </c>
      <c r="X29" s="16" cm="1">
        <f t="array" ref="X29">Comm_TBS(X7, X26, X27, X8, X9, X6/X15)</f>
        <v>106576</v>
      </c>
      <c r="Y29" s="16" cm="1">
        <f t="array" ref="Y29">Comm_TBS(Y7, Y26, Y27, Y8, Y9, Y6/Y15)</f>
        <v>94248</v>
      </c>
      <c r="Z29" s="10" cm="1">
        <f t="array" ref="Z29">Comm_TBS(Z7, Z26, Z27, Z8, Z9, Z6/Z15)</f>
        <v>81976</v>
      </c>
    </row>
    <row r="30" spans="2:26" x14ac:dyDescent="0.2">
      <c r="B30" s="1" t="s">
        <v>29</v>
      </c>
      <c r="C30" s="7"/>
      <c r="D30" s="10" cm="1">
        <f t="array" ref="D30">Comm_CB(D7, D26, D27, D8, D9, D6/D15)</f>
        <v>50</v>
      </c>
      <c r="E30" s="16" cm="1">
        <f t="array" ref="E30">Comm_CB(E7, E26, E27, E8, E9, E6/E15)</f>
        <v>48</v>
      </c>
      <c r="F30" s="16" cm="1">
        <f t="array" ref="F30">Comm_CB(F7, F26, F27, F8, F9, F6/F15)</f>
        <v>46</v>
      </c>
      <c r="G30" s="16" cm="1">
        <f t="array" ref="G30">Comm_CB(G7, G26, G27, G8, G9, G6/G15)</f>
        <v>44</v>
      </c>
      <c r="H30" s="10" cm="1">
        <f t="array" ref="H30">Comm_CB(H7, H26, H27, H8, H9, H6/H15)</f>
        <v>42</v>
      </c>
      <c r="I30" s="16" cm="1">
        <f t="array" ref="I30">Comm_CB(I7, I26, I27, I8, I9, I6/I15)</f>
        <v>39</v>
      </c>
      <c r="J30" s="16" cm="1">
        <f t="array" ref="J30">Comm_CB(J7, J26, J27, J8, J9, J6/J15)</f>
        <v>37</v>
      </c>
      <c r="K30" s="20" cm="1">
        <f t="array" ref="K30">Comm_CB(K7, K26, K27, K8, K9, K6/K15)</f>
        <v>36</v>
      </c>
      <c r="L30" s="20" cm="1">
        <f t="array" ref="L30">Comm_CB(L7, L26, L27, L8, L9, L6/L15)</f>
        <v>35</v>
      </c>
      <c r="M30" s="20" cm="1">
        <f t="array" ref="M30">Comm_CB(M7, M26, M27, M8, M9, M6/M15)</f>
        <v>33</v>
      </c>
      <c r="N30" s="20" cm="1">
        <f t="array" ref="N30">Comm_CB(N7, N26, N27, N8, N9, N6/N15)</f>
        <v>31</v>
      </c>
      <c r="O30" s="20" cm="1">
        <f t="array" ref="O30">Comm_CB(O7, O26, O27, O8, O9, O6/O15)</f>
        <v>29</v>
      </c>
      <c r="P30" s="16" cm="1">
        <f t="array" ref="P30">Comm_CB(P7, P26, P27, P8, P9, P6/P15)</f>
        <v>26</v>
      </c>
      <c r="Q30" s="10" cm="1">
        <f t="array" ref="Q30">Comm_CB(Q7, Q26, Q27, Q8, Q9, Q6/Q15)</f>
        <v>24</v>
      </c>
      <c r="R30" s="20" cm="1">
        <f t="array" ref="R30">Comm_CB(R7, R26, R27, R8, R9, R6/R15)</f>
        <v>22</v>
      </c>
      <c r="S30" s="20" cm="1">
        <f t="array" ref="S30">Comm_CB(S7, S26, S27, S8, S9, S6/S15)</f>
        <v>20</v>
      </c>
      <c r="T30" s="10" cm="1">
        <f t="array" ref="T30">Comm_CB(T7, T26, T27, T8, T9, T6/T15)</f>
        <v>18</v>
      </c>
      <c r="U30" s="20" cm="1">
        <f t="array" ref="U30">Comm_CB(U7, U26, U27, U8, U9, U6/U15)</f>
        <v>18</v>
      </c>
      <c r="V30" s="20" cm="1">
        <f t="array" ref="V30">Comm_CB(V7, V26, V27, V8, V9, V6/V15)</f>
        <v>17</v>
      </c>
      <c r="W30" s="16" cm="1">
        <f t="array" ref="W30">Comm_CB(W7, W26, W27, W8, W9, W6/W15)</f>
        <v>15</v>
      </c>
      <c r="X30" s="20" cm="1">
        <f t="array" ref="X30">Comm_CB(X7, X26, X27, X8, X9, X6/X15)</f>
        <v>13</v>
      </c>
      <c r="Y30" s="20" cm="1">
        <f t="array" ref="Y30">Comm_CB(Y7, Y26, Y27, Y8, Y9, Y6/Y15)</f>
        <v>12</v>
      </c>
      <c r="Z30" s="10" cm="1">
        <f t="array" ref="Z30">Comm_CB(Z7, Z26, Z27, Z8, Z9, Z6/Z15)</f>
        <v>10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8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20</v>
      </c>
      <c r="S31" s="20" cm="1">
        <f t="array" ref="S31">Comm_Parity_Nodes(S7, S26, S27, S8, S9, S6/S15)</f>
        <v>24</v>
      </c>
      <c r="T31" s="10" cm="1">
        <f t="array" ref="T31">Comm_Parity_Nodes(T7, T26, T27, T8, T9, T6/T15)</f>
        <v>29</v>
      </c>
      <c r="U31" s="20" cm="1">
        <f t="array" ref="U31">Comm_Parity_Nodes(U7, U26, U27, U8, U9, U6/U15)</f>
        <v>14</v>
      </c>
      <c r="V31" s="20" cm="1">
        <f t="array" ref="V31">Comm_Parity_Nodes(V7, V26, V27, V8, V9, V6/V15)</f>
        <v>16</v>
      </c>
      <c r="W31" s="16" cm="1">
        <f t="array" ref="W31">Comm_Parity_Nodes(W7, W26, W27, W8, W9, W6/W15)</f>
        <v>20</v>
      </c>
      <c r="X31" s="20" cm="1">
        <f t="array" ref="X31">Comm_Parity_Nodes(X7, X26, X27, X8, X9, X6/X15)</f>
        <v>26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39</v>
      </c>
    </row>
    <row r="32" spans="2:26" x14ac:dyDescent="0.2">
      <c r="K32" s="14"/>
      <c r="L32" s="14"/>
      <c r="M32" s="14"/>
      <c r="N32" s="14"/>
      <c r="O32" s="14"/>
      <c r="R32" s="14"/>
      <c r="S32" s="14"/>
      <c r="U32" s="14"/>
      <c r="V32" s="14"/>
      <c r="X32" s="14"/>
      <c r="Y32" s="14"/>
    </row>
    <row r="33" spans="11:25" x14ac:dyDescent="0.2">
      <c r="K33" s="14"/>
      <c r="L33" s="14"/>
      <c r="M33" s="14"/>
      <c r="N33" s="14"/>
      <c r="O33" s="14"/>
      <c r="R33" s="14"/>
      <c r="S33" s="14"/>
      <c r="U33" s="14"/>
      <c r="V33" s="14"/>
      <c r="X33" s="14"/>
      <c r="Y33" s="14"/>
    </row>
    <row r="34" spans="11:25" x14ac:dyDescent="0.2">
      <c r="K34" s="14"/>
      <c r="L34" s="14"/>
      <c r="M34" s="14"/>
      <c r="N34" s="14"/>
      <c r="O34" s="14"/>
      <c r="R34" s="14"/>
      <c r="S34" s="14"/>
      <c r="U34" s="14"/>
      <c r="V34" s="14"/>
      <c r="X34" s="14"/>
      <c r="Y34" s="14"/>
    </row>
    <row r="35" spans="11:25" x14ac:dyDescent="0.2">
      <c r="K35" s="14"/>
      <c r="L35" s="14"/>
      <c r="M35" s="14"/>
      <c r="N35" s="14"/>
      <c r="O35" s="14"/>
      <c r="R35" s="14"/>
      <c r="S35" s="14"/>
      <c r="U35" s="14"/>
      <c r="V35" s="14"/>
      <c r="X35" s="14"/>
      <c r="Y35" s="14"/>
    </row>
    <row r="36" spans="11:25" x14ac:dyDescent="0.2">
      <c r="K36" s="14"/>
      <c r="L36" s="14"/>
      <c r="M36" s="14"/>
      <c r="N36" s="14"/>
      <c r="O36" s="14"/>
      <c r="R36" s="14"/>
      <c r="S36" s="14"/>
      <c r="U36" s="14"/>
      <c r="V36" s="14"/>
      <c r="X36" s="14"/>
      <c r="Y36" s="14"/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9763-9EEF-42BF-B6B4-A89B37F133B8}">
  <sheetPr codeName="Sheet5"/>
  <dimension ref="B2:Z31"/>
  <sheetViews>
    <sheetView tabSelected="1" zoomScale="130" zoomScaleNormal="130" workbookViewId="0">
      <selection activeCell="K39" sqref="K39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6" width="12.6640625" customWidth="1"/>
  </cols>
  <sheetData>
    <row r="2" spans="2:26" x14ac:dyDescent="0.2">
      <c r="B2" s="3" t="s">
        <v>0</v>
      </c>
      <c r="C2" s="7"/>
      <c r="D2" s="12" t="s">
        <v>82</v>
      </c>
      <c r="E2" s="17" t="s">
        <v>83</v>
      </c>
      <c r="F2" s="12" t="s">
        <v>84</v>
      </c>
      <c r="G2" s="18" t="s">
        <v>85</v>
      </c>
      <c r="H2" s="13" t="s">
        <v>86</v>
      </c>
      <c r="I2" s="18" t="s">
        <v>87</v>
      </c>
      <c r="J2" s="18" t="s">
        <v>88</v>
      </c>
      <c r="K2" s="18" t="s">
        <v>89</v>
      </c>
      <c r="L2" s="18" t="s">
        <v>90</v>
      </c>
      <c r="M2" s="18" t="s">
        <v>91</v>
      </c>
      <c r="N2" s="18" t="s">
        <v>92</v>
      </c>
      <c r="O2" s="18" t="s">
        <v>93</v>
      </c>
      <c r="P2" s="18" t="s">
        <v>94</v>
      </c>
      <c r="Q2" s="18" t="s">
        <v>95</v>
      </c>
      <c r="R2" s="18" t="s">
        <v>96</v>
      </c>
      <c r="S2" s="18" t="s">
        <v>97</v>
      </c>
      <c r="T2" s="18" t="s">
        <v>98</v>
      </c>
      <c r="U2" s="18" t="s">
        <v>99</v>
      </c>
      <c r="V2" s="18" t="s">
        <v>100</v>
      </c>
      <c r="W2" s="18" t="s">
        <v>101</v>
      </c>
      <c r="X2" s="18" t="s">
        <v>102</v>
      </c>
      <c r="Y2" s="18" t="s">
        <v>103</v>
      </c>
      <c r="Z2" s="17" t="s">
        <v>104</v>
      </c>
    </row>
    <row r="3" spans="2:26" x14ac:dyDescent="0.2">
      <c r="B3" s="4" t="s">
        <v>35</v>
      </c>
      <c r="C3" s="7"/>
      <c r="D3" s="6">
        <v>20</v>
      </c>
      <c r="E3" s="15">
        <v>20</v>
      </c>
      <c r="F3" s="15">
        <v>20</v>
      </c>
      <c r="G3" s="15">
        <v>20</v>
      </c>
      <c r="H3" s="6">
        <v>20</v>
      </c>
      <c r="I3" s="20">
        <v>20</v>
      </c>
      <c r="J3" s="20">
        <v>20</v>
      </c>
      <c r="K3" s="20">
        <v>20</v>
      </c>
      <c r="L3" s="20">
        <v>20</v>
      </c>
      <c r="M3" s="20">
        <v>20</v>
      </c>
      <c r="N3" s="20">
        <v>20</v>
      </c>
      <c r="O3" s="20">
        <v>20</v>
      </c>
      <c r="P3" s="15">
        <v>20</v>
      </c>
      <c r="Q3" s="6">
        <v>20</v>
      </c>
      <c r="R3" s="15">
        <v>20</v>
      </c>
      <c r="S3" s="20">
        <v>20</v>
      </c>
      <c r="T3" s="6">
        <v>20</v>
      </c>
      <c r="U3" s="20">
        <v>20</v>
      </c>
      <c r="V3" s="20">
        <v>20</v>
      </c>
      <c r="W3" s="15">
        <v>20</v>
      </c>
      <c r="X3" s="15">
        <v>20</v>
      </c>
      <c r="Y3" s="20">
        <v>20</v>
      </c>
      <c r="Z3" s="6">
        <v>20</v>
      </c>
    </row>
    <row r="4" spans="2:26" x14ac:dyDescent="0.2">
      <c r="B4" s="5" t="s">
        <v>2</v>
      </c>
      <c r="C4" s="7"/>
      <c r="D4" s="6">
        <v>0</v>
      </c>
      <c r="E4" s="15">
        <v>0</v>
      </c>
      <c r="F4" s="15">
        <v>0</v>
      </c>
      <c r="G4" s="15">
        <v>0</v>
      </c>
      <c r="H4" s="7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15">
        <v>0</v>
      </c>
      <c r="Q4" s="7">
        <v>0</v>
      </c>
      <c r="R4" s="15">
        <v>0</v>
      </c>
      <c r="S4" s="20">
        <v>0</v>
      </c>
      <c r="T4" s="6">
        <v>0</v>
      </c>
      <c r="U4" s="20">
        <v>0</v>
      </c>
      <c r="V4" s="20">
        <v>0</v>
      </c>
      <c r="W4" s="15">
        <v>0</v>
      </c>
      <c r="X4" s="15">
        <v>0</v>
      </c>
      <c r="Y4" s="20">
        <v>0</v>
      </c>
      <c r="Z4" s="7">
        <v>0</v>
      </c>
    </row>
    <row r="5" spans="2:26" x14ac:dyDescent="0.2">
      <c r="B5" s="5" t="s">
        <v>32</v>
      </c>
      <c r="D5" s="6">
        <v>4</v>
      </c>
      <c r="E5" s="15">
        <v>4</v>
      </c>
      <c r="F5" s="15">
        <v>4</v>
      </c>
      <c r="G5" s="15">
        <v>4</v>
      </c>
      <c r="H5" s="6">
        <v>4</v>
      </c>
      <c r="I5" s="20">
        <v>4</v>
      </c>
      <c r="J5" s="20">
        <v>4</v>
      </c>
      <c r="K5" s="20">
        <v>4</v>
      </c>
      <c r="L5" s="20">
        <v>4</v>
      </c>
      <c r="M5" s="20">
        <v>4</v>
      </c>
      <c r="N5" s="20">
        <v>4</v>
      </c>
      <c r="O5" s="20">
        <v>4</v>
      </c>
      <c r="P5" s="15">
        <v>4</v>
      </c>
      <c r="Q5" s="6">
        <v>4</v>
      </c>
      <c r="R5" s="15">
        <v>4</v>
      </c>
      <c r="S5" s="20">
        <v>4</v>
      </c>
      <c r="T5" s="6">
        <v>4</v>
      </c>
      <c r="U5" s="20">
        <v>4</v>
      </c>
      <c r="V5" s="20">
        <v>4</v>
      </c>
      <c r="W5" s="15">
        <v>4</v>
      </c>
      <c r="X5" s="15">
        <v>4</v>
      </c>
      <c r="Y5" s="20">
        <v>4</v>
      </c>
      <c r="Z5" s="6">
        <v>4</v>
      </c>
    </row>
    <row r="6" spans="2:26" x14ac:dyDescent="0.2">
      <c r="B6" s="5" t="s">
        <v>3</v>
      </c>
      <c r="C6" s="7"/>
      <c r="D6" s="6">
        <v>1</v>
      </c>
      <c r="E6" s="15">
        <v>1</v>
      </c>
      <c r="F6" s="15">
        <v>1</v>
      </c>
      <c r="G6" s="15">
        <v>1</v>
      </c>
      <c r="H6" s="7">
        <v>1</v>
      </c>
      <c r="I6" s="20">
        <v>1</v>
      </c>
      <c r="J6" s="20">
        <v>1</v>
      </c>
      <c r="K6" s="20">
        <v>1</v>
      </c>
      <c r="L6" s="20">
        <v>1</v>
      </c>
      <c r="M6" s="20">
        <v>1</v>
      </c>
      <c r="N6" s="20">
        <v>1</v>
      </c>
      <c r="O6" s="20">
        <v>1</v>
      </c>
      <c r="P6" s="15">
        <v>1</v>
      </c>
      <c r="Q6" s="7">
        <v>1</v>
      </c>
      <c r="R6" s="15">
        <v>1</v>
      </c>
      <c r="S6" s="20">
        <v>1</v>
      </c>
      <c r="T6" s="6">
        <v>1</v>
      </c>
      <c r="U6" s="20">
        <v>1</v>
      </c>
      <c r="V6" s="20">
        <v>1</v>
      </c>
      <c r="W6" s="15">
        <v>1</v>
      </c>
      <c r="X6" s="15">
        <v>1</v>
      </c>
      <c r="Y6" s="20">
        <v>1</v>
      </c>
      <c r="Z6" s="7">
        <v>1</v>
      </c>
    </row>
    <row r="7" spans="2:26" x14ac:dyDescent="0.2">
      <c r="B7" s="4" t="s">
        <v>4</v>
      </c>
      <c r="C7" s="7"/>
      <c r="D7" s="6">
        <v>104</v>
      </c>
      <c r="E7" s="15">
        <v>104</v>
      </c>
      <c r="F7" s="15">
        <v>104</v>
      </c>
      <c r="G7" s="15">
        <v>104</v>
      </c>
      <c r="H7" s="6">
        <v>104</v>
      </c>
      <c r="I7" s="20">
        <v>104</v>
      </c>
      <c r="J7" s="20">
        <v>104</v>
      </c>
      <c r="K7" s="20">
        <v>104</v>
      </c>
      <c r="L7" s="20">
        <v>104</v>
      </c>
      <c r="M7" s="20">
        <v>104</v>
      </c>
      <c r="N7" s="20">
        <v>104</v>
      </c>
      <c r="O7" s="20">
        <v>104</v>
      </c>
      <c r="P7" s="15">
        <v>104</v>
      </c>
      <c r="Q7" s="6">
        <v>104</v>
      </c>
      <c r="R7" s="15">
        <v>104</v>
      </c>
      <c r="S7" s="20">
        <v>104</v>
      </c>
      <c r="T7" s="6">
        <v>104</v>
      </c>
      <c r="U7" s="20">
        <v>104</v>
      </c>
      <c r="V7" s="20">
        <v>104</v>
      </c>
      <c r="W7" s="15">
        <v>104</v>
      </c>
      <c r="X7" s="15">
        <v>104</v>
      </c>
      <c r="Y7" s="20">
        <v>104</v>
      </c>
      <c r="Z7" s="6">
        <v>104</v>
      </c>
    </row>
    <row r="8" spans="2:26" x14ac:dyDescent="0.2">
      <c r="B8" s="4" t="s">
        <v>33</v>
      </c>
      <c r="C8" s="7"/>
      <c r="D8" s="6">
        <v>14</v>
      </c>
      <c r="E8" s="15">
        <v>14</v>
      </c>
      <c r="F8" s="15">
        <v>14</v>
      </c>
      <c r="G8" s="15">
        <v>14</v>
      </c>
      <c r="H8" s="7">
        <v>14</v>
      </c>
      <c r="I8" s="20">
        <v>14</v>
      </c>
      <c r="J8" s="20">
        <v>14</v>
      </c>
      <c r="K8" s="20">
        <v>14</v>
      </c>
      <c r="L8" s="20">
        <v>14</v>
      </c>
      <c r="M8" s="20">
        <v>14</v>
      </c>
      <c r="N8" s="20">
        <v>14</v>
      </c>
      <c r="O8" s="20">
        <v>14</v>
      </c>
      <c r="P8" s="15">
        <v>14</v>
      </c>
      <c r="Q8" s="7">
        <v>14</v>
      </c>
      <c r="R8" s="15">
        <v>14</v>
      </c>
      <c r="S8" s="20">
        <v>14</v>
      </c>
      <c r="T8" s="6">
        <v>14</v>
      </c>
      <c r="U8" s="20">
        <v>14</v>
      </c>
      <c r="V8" s="20">
        <v>14</v>
      </c>
      <c r="W8" s="15">
        <v>14</v>
      </c>
      <c r="X8" s="15">
        <v>14</v>
      </c>
      <c r="Y8" s="20">
        <v>14</v>
      </c>
      <c r="Z8" s="7">
        <v>14</v>
      </c>
    </row>
    <row r="9" spans="2:26" x14ac:dyDescent="0.2">
      <c r="B9" s="4" t="s">
        <v>34</v>
      </c>
      <c r="C9" s="7"/>
      <c r="D9" s="6">
        <v>1</v>
      </c>
      <c r="E9" s="15">
        <v>1</v>
      </c>
      <c r="F9" s="15">
        <v>1</v>
      </c>
      <c r="G9" s="15">
        <v>1</v>
      </c>
      <c r="H9" s="7">
        <v>1</v>
      </c>
      <c r="I9" s="20">
        <v>1</v>
      </c>
      <c r="J9" s="20">
        <v>1</v>
      </c>
      <c r="K9" s="20">
        <v>1</v>
      </c>
      <c r="L9" s="20">
        <v>1</v>
      </c>
      <c r="M9" s="20">
        <v>1</v>
      </c>
      <c r="N9" s="20">
        <v>1</v>
      </c>
      <c r="O9" s="20">
        <v>1</v>
      </c>
      <c r="P9" s="15">
        <v>1</v>
      </c>
      <c r="Q9" s="7">
        <v>1</v>
      </c>
      <c r="R9" s="15">
        <v>1</v>
      </c>
      <c r="S9" s="20">
        <v>1</v>
      </c>
      <c r="T9" s="6">
        <v>1</v>
      </c>
      <c r="U9" s="20">
        <v>1</v>
      </c>
      <c r="V9" s="20">
        <v>1</v>
      </c>
      <c r="W9" s="15">
        <v>1</v>
      </c>
      <c r="X9" s="15">
        <v>1</v>
      </c>
      <c r="Y9" s="20">
        <v>1</v>
      </c>
      <c r="Z9" s="7">
        <v>1</v>
      </c>
    </row>
    <row r="10" spans="2:26" x14ac:dyDescent="0.2">
      <c r="B10" s="11" t="s">
        <v>7</v>
      </c>
      <c r="C10" s="7"/>
      <c r="D10" s="6">
        <v>1</v>
      </c>
      <c r="E10" s="15">
        <v>1</v>
      </c>
      <c r="F10" s="15">
        <v>1</v>
      </c>
      <c r="G10" s="15">
        <v>1</v>
      </c>
      <c r="H10" s="7">
        <v>1</v>
      </c>
      <c r="I10" s="20">
        <v>1</v>
      </c>
      <c r="J10" s="20">
        <v>1</v>
      </c>
      <c r="K10" s="20">
        <v>1</v>
      </c>
      <c r="L10" s="20">
        <v>1</v>
      </c>
      <c r="M10" s="20">
        <v>1</v>
      </c>
      <c r="N10" s="20">
        <v>1</v>
      </c>
      <c r="O10" s="20">
        <v>1</v>
      </c>
      <c r="P10" s="15">
        <v>1</v>
      </c>
      <c r="Q10" s="7">
        <v>1</v>
      </c>
      <c r="R10" s="15">
        <v>1</v>
      </c>
      <c r="S10" s="20">
        <v>1</v>
      </c>
      <c r="T10" s="6">
        <v>1</v>
      </c>
      <c r="U10" s="20">
        <v>1</v>
      </c>
      <c r="V10" s="20">
        <v>1</v>
      </c>
      <c r="W10" s="15">
        <v>1</v>
      </c>
      <c r="X10" s="15">
        <v>1</v>
      </c>
      <c r="Y10" s="20">
        <v>1</v>
      </c>
      <c r="Z10" s="7">
        <v>1</v>
      </c>
    </row>
    <row r="11" spans="2:26" x14ac:dyDescent="0.2">
      <c r="B11" s="11" t="s">
        <v>8</v>
      </c>
      <c r="C11" s="7"/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15">
        <v>0</v>
      </c>
      <c r="S11" s="20">
        <v>0</v>
      </c>
      <c r="T11" s="6">
        <v>0</v>
      </c>
      <c r="U11" s="20">
        <v>0</v>
      </c>
      <c r="V11" s="20">
        <v>0</v>
      </c>
      <c r="W11" s="15">
        <v>0</v>
      </c>
      <c r="X11" s="15">
        <v>0</v>
      </c>
      <c r="Y11" s="20">
        <v>0</v>
      </c>
      <c r="Z11" s="7">
        <v>0</v>
      </c>
    </row>
    <row r="12" spans="2:26" x14ac:dyDescent="0.2">
      <c r="B12" s="4" t="s">
        <v>128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129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C14" s="7"/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20">
        <v>1</v>
      </c>
      <c r="J14" s="20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15">
        <v>1</v>
      </c>
      <c r="S14" s="20">
        <v>1</v>
      </c>
      <c r="T14" s="6">
        <v>1</v>
      </c>
      <c r="U14" s="20">
        <v>1</v>
      </c>
      <c r="V14" s="20">
        <v>1</v>
      </c>
      <c r="W14" s="15">
        <v>1</v>
      </c>
      <c r="X14" s="15">
        <v>1</v>
      </c>
      <c r="Y14" s="20">
        <v>1</v>
      </c>
      <c r="Z14" s="7">
        <v>1</v>
      </c>
    </row>
    <row r="15" spans="2:26" x14ac:dyDescent="0.2">
      <c r="B15" s="4" t="s">
        <v>12</v>
      </c>
      <c r="C15" s="7"/>
      <c r="D15" s="6">
        <v>1</v>
      </c>
      <c r="E15" s="15">
        <v>1</v>
      </c>
      <c r="F15" s="15">
        <v>1</v>
      </c>
      <c r="G15" s="15">
        <v>1</v>
      </c>
      <c r="H15" s="7">
        <v>1</v>
      </c>
      <c r="I15" s="20">
        <v>1</v>
      </c>
      <c r="J15" s="20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15">
        <v>1</v>
      </c>
      <c r="Q15" s="7">
        <v>1</v>
      </c>
      <c r="R15" s="15">
        <v>1</v>
      </c>
      <c r="S15" s="20">
        <v>1</v>
      </c>
      <c r="T15" s="6">
        <v>1</v>
      </c>
      <c r="U15" s="20">
        <v>1</v>
      </c>
      <c r="V15" s="20">
        <v>1</v>
      </c>
      <c r="W15" s="15">
        <v>1</v>
      </c>
      <c r="X15" s="15">
        <v>1</v>
      </c>
      <c r="Y15" s="20">
        <v>1</v>
      </c>
      <c r="Z15" s="7">
        <v>1</v>
      </c>
    </row>
    <row r="16" spans="2:26" x14ac:dyDescent="0.2">
      <c r="B16" s="4" t="s">
        <v>13</v>
      </c>
      <c r="C16" s="7"/>
      <c r="D16" s="6">
        <v>1</v>
      </c>
      <c r="E16" s="15">
        <v>1</v>
      </c>
      <c r="F16" s="15">
        <v>1</v>
      </c>
      <c r="G16" s="15">
        <v>1</v>
      </c>
      <c r="H16" s="7">
        <v>1</v>
      </c>
      <c r="I16" s="20">
        <v>1</v>
      </c>
      <c r="J16" s="20">
        <v>1</v>
      </c>
      <c r="K16" s="20">
        <v>1</v>
      </c>
      <c r="L16" s="20">
        <v>1</v>
      </c>
      <c r="M16" s="20">
        <v>1</v>
      </c>
      <c r="N16" s="20">
        <v>1</v>
      </c>
      <c r="O16" s="20">
        <v>1</v>
      </c>
      <c r="P16" s="15">
        <v>1</v>
      </c>
      <c r="Q16" s="7">
        <v>1</v>
      </c>
      <c r="R16" s="15">
        <v>1</v>
      </c>
      <c r="S16" s="20">
        <v>1</v>
      </c>
      <c r="T16" s="6">
        <v>1</v>
      </c>
      <c r="U16" s="20">
        <v>1</v>
      </c>
      <c r="V16" s="20">
        <v>1</v>
      </c>
      <c r="W16" s="15">
        <v>1</v>
      </c>
      <c r="X16" s="15">
        <v>1</v>
      </c>
      <c r="Y16" s="20">
        <v>1</v>
      </c>
      <c r="Z16" s="7">
        <v>1</v>
      </c>
    </row>
    <row r="17" spans="2:26" x14ac:dyDescent="0.2">
      <c r="B17" s="4" t="s">
        <v>14</v>
      </c>
      <c r="C17" s="7"/>
      <c r="D17" s="6" t="s">
        <v>15</v>
      </c>
      <c r="E17" s="15" t="s">
        <v>15</v>
      </c>
      <c r="F17" s="15" t="s">
        <v>15</v>
      </c>
      <c r="G17" s="15" t="s">
        <v>15</v>
      </c>
      <c r="H17" s="7" t="s">
        <v>15</v>
      </c>
      <c r="I17" s="20" t="s">
        <v>15</v>
      </c>
      <c r="J17" s="20" t="s">
        <v>15</v>
      </c>
      <c r="K17" s="20" t="s">
        <v>15</v>
      </c>
      <c r="L17" s="20" t="s">
        <v>15</v>
      </c>
      <c r="M17" s="20" t="s">
        <v>15</v>
      </c>
      <c r="N17" s="20" t="s">
        <v>15</v>
      </c>
      <c r="O17" s="20" t="s">
        <v>15</v>
      </c>
      <c r="P17" s="15" t="s">
        <v>15</v>
      </c>
      <c r="Q17" s="7" t="s">
        <v>15</v>
      </c>
      <c r="R17" s="15" t="s">
        <v>15</v>
      </c>
      <c r="S17" s="20" t="s">
        <v>15</v>
      </c>
      <c r="T17" s="7" t="s">
        <v>15</v>
      </c>
      <c r="U17" s="20" t="s">
        <v>15</v>
      </c>
      <c r="V17" s="20" t="s">
        <v>15</v>
      </c>
      <c r="W17" s="15" t="s">
        <v>15</v>
      </c>
      <c r="X17" s="15" t="s">
        <v>15</v>
      </c>
      <c r="Y17" s="20" t="s">
        <v>15</v>
      </c>
      <c r="Z17" s="7" t="s">
        <v>15</v>
      </c>
    </row>
    <row r="18" spans="2:26" x14ac:dyDescent="0.2">
      <c r="B18" s="11" t="s">
        <v>16</v>
      </c>
      <c r="C18" s="7"/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20" t="s">
        <v>17</v>
      </c>
      <c r="J18" s="20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15" t="s">
        <v>17</v>
      </c>
      <c r="S18" s="20" t="s">
        <v>17</v>
      </c>
      <c r="T18" s="6" t="s">
        <v>17</v>
      </c>
      <c r="U18" s="20" t="s">
        <v>17</v>
      </c>
      <c r="V18" s="20" t="s">
        <v>17</v>
      </c>
      <c r="W18" s="15" t="s">
        <v>17</v>
      </c>
      <c r="X18" s="15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C19" s="7"/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20" t="s">
        <v>17</v>
      </c>
      <c r="J19" s="20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15" t="s">
        <v>17</v>
      </c>
      <c r="S19" s="20" t="s">
        <v>17</v>
      </c>
      <c r="T19" s="6" t="s">
        <v>17</v>
      </c>
      <c r="U19" s="20" t="s">
        <v>17</v>
      </c>
      <c r="V19" s="20" t="s">
        <v>17</v>
      </c>
      <c r="W19" s="15" t="s">
        <v>17</v>
      </c>
      <c r="X19" s="15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C20" s="7"/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20">
        <v>1</v>
      </c>
      <c r="J20" s="20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15">
        <v>1</v>
      </c>
      <c r="S20" s="20">
        <v>1</v>
      </c>
      <c r="T20" s="6">
        <v>1</v>
      </c>
      <c r="U20" s="20">
        <v>1</v>
      </c>
      <c r="V20" s="20">
        <v>1</v>
      </c>
      <c r="W20" s="15">
        <v>1</v>
      </c>
      <c r="X20" s="15">
        <v>1</v>
      </c>
      <c r="Y20" s="20">
        <v>1</v>
      </c>
      <c r="Z20" s="7">
        <v>1</v>
      </c>
    </row>
    <row r="21" spans="2:26" x14ac:dyDescent="0.2">
      <c r="B21" s="2" t="s">
        <v>20</v>
      </c>
      <c r="C21" s="7"/>
      <c r="D21" s="9"/>
      <c r="E21" s="9"/>
      <c r="F21" s="9"/>
      <c r="G21" s="9"/>
      <c r="H21" s="9"/>
      <c r="I21" s="19"/>
      <c r="J21" s="19"/>
      <c r="K21" s="19"/>
      <c r="L21" s="19"/>
      <c r="M21" s="19"/>
      <c r="N21" s="19"/>
      <c r="O21" s="19"/>
      <c r="P21" s="9"/>
      <c r="Q21" s="9"/>
      <c r="R21" s="9"/>
      <c r="S21" s="19"/>
      <c r="T21" s="9"/>
      <c r="U21" s="19"/>
      <c r="V21" s="19"/>
      <c r="W21" s="9"/>
      <c r="X21" s="9"/>
      <c r="Y21" s="19"/>
      <c r="Z21" s="9"/>
    </row>
    <row r="22" spans="2:26" x14ac:dyDescent="0.2">
      <c r="B22" s="8" t="s">
        <v>21</v>
      </c>
      <c r="C22" s="7"/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20" t="s">
        <v>22</v>
      </c>
      <c r="J22" s="20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15" t="s">
        <v>22</v>
      </c>
      <c r="S22" s="20" t="s">
        <v>22</v>
      </c>
      <c r="T22" s="6" t="s">
        <v>22</v>
      </c>
      <c r="U22" s="20" t="s">
        <v>22</v>
      </c>
      <c r="V22" s="20" t="s">
        <v>22</v>
      </c>
      <c r="W22" s="15" t="s">
        <v>22</v>
      </c>
      <c r="X22" s="15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C23" s="7"/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20">
        <v>0</v>
      </c>
      <c r="J23" s="20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15">
        <v>0</v>
      </c>
      <c r="S23" s="20">
        <v>0</v>
      </c>
      <c r="T23" s="6">
        <v>0</v>
      </c>
      <c r="U23" s="20">
        <v>0</v>
      </c>
      <c r="V23" s="20">
        <v>0</v>
      </c>
      <c r="W23" s="15">
        <v>0</v>
      </c>
      <c r="X23" s="15">
        <v>0</v>
      </c>
      <c r="Y23" s="20">
        <v>0</v>
      </c>
      <c r="Z23" s="6">
        <v>0</v>
      </c>
    </row>
    <row r="24" spans="2:26" x14ac:dyDescent="0.2">
      <c r="B24" s="8" t="s">
        <v>24</v>
      </c>
      <c r="C24" s="7"/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20" t="s">
        <v>25</v>
      </c>
      <c r="J24" s="20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15" t="s">
        <v>25</v>
      </c>
      <c r="S24" s="20" t="s">
        <v>25</v>
      </c>
      <c r="T24" s="6" t="s">
        <v>25</v>
      </c>
      <c r="U24" s="20" t="s">
        <v>25</v>
      </c>
      <c r="V24" s="20" t="s">
        <v>25</v>
      </c>
      <c r="W24" s="15" t="s">
        <v>25</v>
      </c>
      <c r="X24" s="15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C25" s="7"/>
      <c r="D25" s="9"/>
      <c r="E25" s="9"/>
      <c r="F25" s="9"/>
      <c r="G25" s="9"/>
      <c r="H25" s="9"/>
      <c r="I25" s="19"/>
      <c r="J25" s="19"/>
      <c r="K25" s="19"/>
      <c r="L25" s="19"/>
      <c r="M25" s="19"/>
      <c r="N25" s="19"/>
      <c r="O25" s="19"/>
      <c r="P25" s="9"/>
      <c r="Q25" s="9"/>
      <c r="R25" s="9"/>
      <c r="S25" s="19"/>
      <c r="T25" s="9"/>
      <c r="U25" s="19"/>
      <c r="V25" s="19"/>
      <c r="W25" s="9"/>
      <c r="X25" s="9"/>
      <c r="Y25" s="19"/>
      <c r="Z25" s="9"/>
    </row>
    <row r="26" spans="2:26" x14ac:dyDescent="0.2">
      <c r="B26" s="22" t="s">
        <v>9</v>
      </c>
      <c r="C26" s="7"/>
      <c r="D26" s="6" cm="1">
        <f t="array" ref="D26">Comm_MCS_ModOrd(D12,D13)</f>
        <v>8</v>
      </c>
      <c r="E26" s="15" cm="1">
        <f t="array" ref="E26">Comm_MCS_ModOrd(E12,E13)</f>
        <v>8</v>
      </c>
      <c r="F26" s="15" cm="1">
        <f t="array" ref="F26">Comm_MCS_ModOrd(F12,F13)</f>
        <v>8</v>
      </c>
      <c r="G26" s="15" cm="1">
        <f t="array" ref="G26">Comm_MCS_ModOrd(G12,G13)</f>
        <v>8</v>
      </c>
      <c r="H26" s="7" cm="1">
        <f t="array" ref="H26">Comm_MCS_ModOrd(H12,H13)</f>
        <v>8</v>
      </c>
      <c r="I26" s="15" cm="1">
        <f t="array" ref="I26">Comm_MCS_ModOrd(I12,I13)</f>
        <v>8</v>
      </c>
      <c r="J26" s="15" cm="1">
        <f t="array" ref="J26">Comm_MCS_ModOrd(J12,J13)</f>
        <v>8</v>
      </c>
      <c r="K26" s="20" cm="1">
        <f t="array" ref="K26">Comm_MCS_ModOrd(K12,K13)</f>
        <v>8</v>
      </c>
      <c r="L26" s="20" cm="1">
        <f t="array" ref="L26">Comm_MCS_ModOrd(L12,L13)</f>
        <v>6</v>
      </c>
      <c r="M26" s="20" cm="1">
        <f t="array" ref="M26">Comm_MCS_ModOrd(M12,M13)</f>
        <v>6</v>
      </c>
      <c r="N26" s="20" cm="1">
        <f t="array" ref="N26">Comm_MCS_ModOrd(N12,N13)</f>
        <v>6</v>
      </c>
      <c r="O26" s="20" cm="1">
        <f t="array" ref="O26">Comm_MCS_ModOrd(O12,O13)</f>
        <v>6</v>
      </c>
      <c r="P26" s="15" cm="1">
        <f t="array" ref="P26">Comm_MCS_ModOrd(P12,P13)</f>
        <v>6</v>
      </c>
      <c r="Q26" s="7" cm="1">
        <f t="array" ref="Q26">Comm_MCS_ModOrd(Q12,Q13)</f>
        <v>6</v>
      </c>
      <c r="R26" s="20" cm="1">
        <f t="array" ref="R26">Comm_MCS_ModOrd(R12,R13)</f>
        <v>6</v>
      </c>
      <c r="S26" s="20" cm="1">
        <f t="array" ref="S26">Comm_MCS_ModOrd(S12,S13)</f>
        <v>6</v>
      </c>
      <c r="T26" s="6" cm="1">
        <f t="array" ref="T26">Comm_MCS_ModOrd(T12,T13)</f>
        <v>6</v>
      </c>
      <c r="U26" s="20" cm="1">
        <f t="array" ref="U26">Comm_MCS_ModOrd(U12,U13)</f>
        <v>4</v>
      </c>
      <c r="V26" s="20" cm="1">
        <f t="array" ref="V26">Comm_MCS_ModOrd(V12,V13)</f>
        <v>4</v>
      </c>
      <c r="W26" s="15" cm="1">
        <f t="array" ref="W26">Comm_MCS_ModOrd(W12,W13)</f>
        <v>4</v>
      </c>
      <c r="X26" s="20" cm="1">
        <f t="array" ref="X26">Comm_MCS_ModOrd(X12,X13)</f>
        <v>4</v>
      </c>
      <c r="Y26" s="20" cm="1">
        <f t="array" ref="Y26">Comm_MCS_ModOrd(Y12,Y13)</f>
        <v>4</v>
      </c>
      <c r="Z26" s="7" cm="1">
        <f t="array" ref="Z26">Comm_MCS_ModOrd(Z12,Z13)</f>
        <v>4</v>
      </c>
    </row>
    <row r="27" spans="2:26" x14ac:dyDescent="0.2">
      <c r="B27" s="22" t="s">
        <v>10</v>
      </c>
      <c r="C27" s="7"/>
      <c r="D27" s="6" cm="1">
        <f t="array" ref="D27">Comm_MCS_CodeRate(D12,D13)</f>
        <v>948</v>
      </c>
      <c r="E27" s="15" cm="1">
        <f t="array" ref="E27">Comm_MCS_CodeRate(E12,E13)</f>
        <v>916.5</v>
      </c>
      <c r="F27" s="15" cm="1">
        <f t="array" ref="F27">Comm_MCS_CodeRate(F12,F13)</f>
        <v>885</v>
      </c>
      <c r="G27" s="15" cm="1">
        <f t="array" ref="G27">Comm_MCS_CodeRate(G12,G13)</f>
        <v>841</v>
      </c>
      <c r="H27" s="7" cm="1">
        <f t="array" ref="H27">Comm_MCS_CodeRate(H12,H13)</f>
        <v>797</v>
      </c>
      <c r="I27" s="15" cm="1">
        <f t="array" ref="I27">Comm_MCS_CodeRate(I12,I13)</f>
        <v>754</v>
      </c>
      <c r="J27" s="15" cm="1">
        <f t="array" ref="J27">Comm_MCS_CodeRate(J12,J13)</f>
        <v>711</v>
      </c>
      <c r="K27" s="20" cm="1">
        <f t="array" ref="K27">Comm_MCS_CodeRate(K12,K13)</f>
        <v>682.5</v>
      </c>
      <c r="L27" s="20" cm="1">
        <f t="array" ref="L27">Comm_MCS_CodeRate(L12,L13)</f>
        <v>873</v>
      </c>
      <c r="M27" s="20" cm="1">
        <f t="array" ref="M27">Comm_MCS_CodeRate(M12,M13)</f>
        <v>822</v>
      </c>
      <c r="N27" s="20" cm="1">
        <f t="array" ref="N27">Comm_MCS_CodeRate(N12,N13)</f>
        <v>772</v>
      </c>
      <c r="O27" s="20" cm="1">
        <f t="array" ref="O27">Comm_MCS_CodeRate(O12,O13)</f>
        <v>719</v>
      </c>
      <c r="P27" s="15" cm="1">
        <f t="array" ref="P27">Comm_MCS_CodeRate(P12,P13)</f>
        <v>666</v>
      </c>
      <c r="Q27" s="7" cm="1">
        <f t="array" ref="Q27">Comm_MCS_CodeRate(Q12,Q13)</f>
        <v>616</v>
      </c>
      <c r="R27" s="20" cm="1">
        <f t="array" ref="R27">Comm_MCS_CodeRate(R12,R13)</f>
        <v>567</v>
      </c>
      <c r="S27" s="20" cm="1">
        <f t="array" ref="S27">Comm_MCS_CodeRate(S12,S13)</f>
        <v>517</v>
      </c>
      <c r="T27" s="6" cm="1">
        <f t="array" ref="T27">Comm_MCS_CodeRate(T12,T13)</f>
        <v>466</v>
      </c>
      <c r="U27" s="20" cm="1">
        <f t="array" ref="U27">Comm_MCS_CodeRate(U12,U13)</f>
        <v>658</v>
      </c>
      <c r="V27" s="20" cm="1">
        <f t="array" ref="V27">Comm_MCS_CodeRate(V12,V13)</f>
        <v>616</v>
      </c>
      <c r="W27" s="15" cm="1">
        <f t="array" ref="W27">Comm_MCS_CodeRate(W12,W13)</f>
        <v>553</v>
      </c>
      <c r="X27" s="20" cm="1">
        <f t="array" ref="X27">Comm_MCS_CodeRate(X12,X13)</f>
        <v>490</v>
      </c>
      <c r="Y27" s="20" cm="1">
        <f t="array" ref="Y27">Comm_MCS_CodeRate(Y12,Y13)</f>
        <v>434</v>
      </c>
      <c r="Z27" s="7" cm="1">
        <f t="array" ref="Z27">Comm_MCS_CodeRate(Z12,Z13)</f>
        <v>378</v>
      </c>
    </row>
    <row r="28" spans="2:26" x14ac:dyDescent="0.2">
      <c r="B28" s="1" t="s">
        <v>27</v>
      </c>
      <c r="C28" s="7"/>
      <c r="D28" s="10" cm="1">
        <f t="array" ref="D28">Comm_Z(D7, D26, D27, D8, D9, D6/D15)</f>
        <v>384</v>
      </c>
      <c r="E28" s="16" cm="1">
        <f t="array" ref="E28">Comm_Z(E7, E26, E27, E8, E9, E6/E15)</f>
        <v>384</v>
      </c>
      <c r="F28" s="16" cm="1">
        <f t="array" ref="F28">Comm_Z(F7, F26, F27, F8, F9, F6/F15)</f>
        <v>384</v>
      </c>
      <c r="G28" s="16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352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352</v>
      </c>
      <c r="U28" s="20" cm="1">
        <f t="array" ref="U28">Comm_Z(U7, U26, U27, U8, U9, U6/U15)</f>
        <v>384</v>
      </c>
      <c r="V28" s="20" cm="1">
        <f t="array" ref="V28">Comm_Z(V7, V26, V27, V8, V9, V6/V15)</f>
        <v>384</v>
      </c>
      <c r="W28" s="16" cm="1">
        <f t="array" ref="W28">Comm_Z(W7, W26, W27, W8, W9, W6/W15)</f>
        <v>320</v>
      </c>
      <c r="X28" s="20" cm="1">
        <f t="array" ref="X28">Comm_Z(X7, X26, X27, X8, X9, X6/X15)</f>
        <v>384</v>
      </c>
      <c r="Y28" s="20" cm="1">
        <f t="array" ref="Y28">Comm_Z(Y7, Y26, Y27, Y8, Y9, Y6/Y15)</f>
        <v>320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C29" s="7"/>
      <c r="D29" s="10" cm="1">
        <f t="array" ref="D29">Comm_TBS(D7, D26, D27, D8, D9, D6/D15)</f>
        <v>120936</v>
      </c>
      <c r="E29" s="16" cm="1">
        <f t="array" ref="E29">Comm_TBS(E7, E26, E27, E8, E9, E6/E15)</f>
        <v>116792</v>
      </c>
      <c r="F29" s="16" cm="1">
        <f t="array" ref="F29">Comm_TBS(F7, F26, F27, F8, F9, F6/F15)</f>
        <v>112648</v>
      </c>
      <c r="G29" s="16" cm="1">
        <f t="array" ref="G29">Comm_TBS(G7, G26, G27, G8, G9, G6/G15)</f>
        <v>106576</v>
      </c>
      <c r="H29" s="10" cm="1">
        <f t="array" ref="H29">Comm_TBS(H7, H26, H27, H8, H9, H6/H15)</f>
        <v>100392</v>
      </c>
      <c r="I29" s="16" cm="1">
        <f t="array" ref="I29">Comm_TBS(I7, I26, I27, I8, I9, I6/I15)</f>
        <v>96264</v>
      </c>
      <c r="J29" s="16" cm="1">
        <f t="array" ref="J29">Comm_TBS(J7, J26, J27, J8, J9, J6/J15)</f>
        <v>90176</v>
      </c>
      <c r="K29" s="16" cm="1">
        <f t="array" ref="K29">Comm_TBS(K7, K26, K27, K8, K9, K6/K15)</f>
        <v>86040</v>
      </c>
      <c r="L29" s="16" cm="1">
        <f t="array" ref="L29">Comm_TBS(L7, L26, L27, L8, L9, L6/L15)</f>
        <v>83976</v>
      </c>
      <c r="M29" s="16" cm="1">
        <f t="array" ref="M29">Comm_TBS(M7, M26, M27, M8, M9, M6/M15)</f>
        <v>77896</v>
      </c>
      <c r="N29" s="16" cm="1">
        <f t="array" ref="N29">Comm_TBS(N7, N26, N27, N8, N9, N6/N15)</f>
        <v>73776</v>
      </c>
      <c r="O29" s="16" cm="1">
        <f t="array" ref="O29">Comm_TBS(O7, O26, O27, O8, O9, O6/O15)</f>
        <v>67584</v>
      </c>
      <c r="P29" s="16" cm="1">
        <f t="array" ref="P29">Comm_TBS(P7, P26, P27, P8, P9, P6/P15)</f>
        <v>63528</v>
      </c>
      <c r="Q29" s="10" cm="1">
        <f t="array" ref="Q29">Comm_TBS(Q7, Q26, Q27, Q8, Q9, Q6/Q15)</f>
        <v>58384</v>
      </c>
      <c r="R29" s="16" cm="1">
        <f t="array" ref="R29">Comm_TBS(R7, R26, R27, R8, R9, R6/R15)</f>
        <v>54296</v>
      </c>
      <c r="S29" s="16" cm="1">
        <f t="array" ref="S29">Comm_TBS(S7, S26, S27, S8, S9, S6/S15)</f>
        <v>49176</v>
      </c>
      <c r="T29" s="10" cm="1">
        <f t="array" ref="T29">Comm_TBS(T7, T26, T27, T8, T9, T6/T15)</f>
        <v>44040</v>
      </c>
      <c r="U29" s="16" cm="1">
        <f t="array" ref="U29">Comm_TBS(U7, U26, U27, U8, U9, U6/U15)</f>
        <v>42016</v>
      </c>
      <c r="V29" s="16" cm="1">
        <f t="array" ref="V29">Comm_TBS(V7, V26, V27, V8, V9, V6/V15)</f>
        <v>38936</v>
      </c>
      <c r="W29" s="16" cm="1">
        <f t="array" ref="W29">Comm_TBS(W7, W26, W27, W8, W9, W6/W15)</f>
        <v>34816</v>
      </c>
      <c r="X29" s="16" cm="1">
        <f t="array" ref="X29">Comm_TBS(X7, X26, X27, X8, X9, X6/X15)</f>
        <v>31240</v>
      </c>
      <c r="Y29" s="16" cm="1">
        <f t="array" ref="Y29">Comm_TBS(Y7, Y26, Y27, Y8, Y9, Y6/Y15)</f>
        <v>27656</v>
      </c>
      <c r="Z29" s="10" cm="1">
        <f t="array" ref="Z29">Comm_TBS(Z7, Z26, Z27, Z8, Z9, Z6/Z15)</f>
        <v>24072</v>
      </c>
    </row>
    <row r="30" spans="2:26" x14ac:dyDescent="0.2">
      <c r="B30" s="1" t="s">
        <v>29</v>
      </c>
      <c r="C30" s="7"/>
      <c r="D30" s="10" cm="1">
        <f t="array" ref="D30">Comm_CB(D7, D26, D27, D8, D9, D6/D15)</f>
        <v>15</v>
      </c>
      <c r="E30" s="16" cm="1">
        <f t="array" ref="E30">Comm_CB(E7, E26, E27, E8, E9, E6/E15)</f>
        <v>14</v>
      </c>
      <c r="F30" s="16" cm="1">
        <f t="array" ref="F30">Comm_CB(F7, F26, F27, F8, F9, F6/F15)</f>
        <v>14</v>
      </c>
      <c r="G30" s="16" cm="1">
        <f t="array" ref="G30">Comm_CB(G7, G26, G27, G8, G9, G6/G15)</f>
        <v>13</v>
      </c>
      <c r="H30" s="10" cm="1">
        <f t="array" ref="H30">Comm_CB(H7, H26, H27, H8, H9, H6/H15)</f>
        <v>12</v>
      </c>
      <c r="I30" s="16" cm="1">
        <f t="array" ref="I30">Comm_CB(I7, I26, I27, I8, I9, I6/I15)</f>
        <v>12</v>
      </c>
      <c r="J30" s="16" cm="1">
        <f t="array" ref="J30">Comm_CB(J7, J26, J27, J8, J9, J6/J15)</f>
        <v>11</v>
      </c>
      <c r="K30" s="20" cm="1">
        <f t="array" ref="K30">Comm_CB(K7, K26, K27, K8, K9, K6/K15)</f>
        <v>11</v>
      </c>
      <c r="L30" s="20" cm="1">
        <f t="array" ref="L30">Comm_CB(L7, L26, L27, L8, L9, L6/L15)</f>
        <v>10</v>
      </c>
      <c r="M30" s="20" cm="1">
        <f t="array" ref="M30">Comm_CB(M7, M26, M27, M8, M9, M6/M15)</f>
        <v>10</v>
      </c>
      <c r="N30" s="20" cm="1">
        <f t="array" ref="N30">Comm_CB(N7, N26, N27, N8, N9, N6/N15)</f>
        <v>9</v>
      </c>
      <c r="O30" s="20" cm="1">
        <f t="array" ref="O30">Comm_CB(O7, O26, O27, O8, O9, O6/O15)</f>
        <v>9</v>
      </c>
      <c r="P30" s="16" cm="1">
        <f t="array" ref="P30">Comm_CB(P7, P26, P27, P8, P9, P6/P15)</f>
        <v>8</v>
      </c>
      <c r="Q30" s="10" cm="1">
        <f t="array" ref="Q30">Comm_CB(Q7, Q26, Q27, Q8, Q9, Q6/Q15)</f>
        <v>7</v>
      </c>
      <c r="R30" s="20" cm="1">
        <f t="array" ref="R30">Comm_CB(R7, R26, R27, R8, R9, R6/R15)</f>
        <v>7</v>
      </c>
      <c r="S30" s="20" cm="1">
        <f t="array" ref="S30">Comm_CB(S7, S26, S27, S8, S9, S6/S15)</f>
        <v>6</v>
      </c>
      <c r="T30" s="10" cm="1">
        <f t="array" ref="T30">Comm_CB(T7, T26, T27, T8, T9, T6/T15)</f>
        <v>6</v>
      </c>
      <c r="U30" s="20" cm="1">
        <f t="array" ref="U30">Comm_CB(U7, U26, U27, U8, U9, U6/U15)</f>
        <v>5</v>
      </c>
      <c r="V30" s="20" cm="1">
        <f t="array" ref="V30">Comm_CB(V7, V26, V27, V8, V9, V6/V15)</f>
        <v>5</v>
      </c>
      <c r="W30" s="16" cm="1">
        <f t="array" ref="W30">Comm_CB(W7, W26, W27, W8, W9, W6/W15)</f>
        <v>5</v>
      </c>
      <c r="X30" s="20" cm="1">
        <f t="array" ref="X30">Comm_CB(X7, X26, X27, X8, X9, X6/X15)</f>
        <v>4</v>
      </c>
      <c r="Y30" s="20" cm="1">
        <f t="array" ref="Y30">Comm_CB(Y7, Y26, Y27, Y8, Y9, Y6/Y15)</f>
        <v>4</v>
      </c>
      <c r="Z30" s="10" cm="1">
        <f t="array" ref="Z30">Comm_CB(Z7, Z26, Z27, Z8, Z9, Z6/Z15)</f>
        <v>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9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20" cm="1">
        <f t="array" ref="K31">Comm_Parity_Nodes(K7, K26, K27, K8, K9, K6/K15)</f>
        <v>13</v>
      </c>
      <c r="L31" s="20" cm="1">
        <f t="array" ref="L31">Comm_Parity_Nodes(L7, L26, L27, L8, L9, L6/L15)</f>
        <v>6</v>
      </c>
      <c r="M31" s="20" cm="1">
        <f t="array" ref="M31">Comm_Parity_Nodes(M7, M26, M27, M8, M9, M6/M15)</f>
        <v>7</v>
      </c>
      <c r="N31" s="20" cm="1">
        <f t="array" ref="N31">Comm_Parity_Nodes(N7, N26, N27, N8, N9, N6/N15)</f>
        <v>9</v>
      </c>
      <c r="O31" s="20" cm="1">
        <f t="array" ref="O31">Comm_Parity_Nodes(O7, O26, O27, O8, O9, O6/O15)</f>
        <v>12</v>
      </c>
      <c r="P31" s="16" cm="1">
        <f t="array" ref="P31">Comm_Parity_Nodes(P7, P26, P27, P8, P9, P6/P15)</f>
        <v>13</v>
      </c>
      <c r="Q31" s="10" cm="1">
        <f t="array" ref="Q31">Comm_Parity_Nodes(Q7, Q26, Q27, Q8, Q9, Q6/Q15)</f>
        <v>17</v>
      </c>
      <c r="R31" s="20" cm="1">
        <f t="array" ref="R31">Comm_Parity_Nodes(R7, R26, R27, R8, R9, R6/R15)</f>
        <v>18</v>
      </c>
      <c r="S31" s="20" cm="1">
        <f t="array" ref="S31">Comm_Parity_Nodes(S7, S26, S27, S8, S9, S6/S15)</f>
        <v>23</v>
      </c>
      <c r="T31" s="10" cm="1">
        <f t="array" ref="T31">Comm_Parity_Nodes(T7, T26, T27, T8, T9, T6/T15)</f>
        <v>28</v>
      </c>
      <c r="U31" s="20" cm="1">
        <f t="array" ref="U31">Comm_Parity_Nodes(U7, U26, U27, U8, U9, U6/U15)</f>
        <v>14</v>
      </c>
      <c r="V31" s="20" cm="1">
        <f t="array" ref="V31">Comm_Parity_Nodes(V7, V26, V27, V8, V9, V6/V15)</f>
        <v>16</v>
      </c>
      <c r="W31" s="16" cm="1">
        <f t="array" ref="W31">Comm_Parity_Nodes(W7, W26, W27, W8, W9, W6/W15)</f>
        <v>21</v>
      </c>
      <c r="X31" s="20" cm="1">
        <f t="array" ref="X31">Comm_Parity_Nodes(X7, X26, X27, X8, X9, X6/X15)</f>
        <v>24</v>
      </c>
      <c r="Y31" s="20" cm="1">
        <f t="array" ref="Y31">Comm_Parity_Nodes(Y7, Y26, Y27, Y8, Y9, Y6/Y15)</f>
        <v>31</v>
      </c>
      <c r="Z31" s="10" cm="1">
        <f t="array" ref="Z31">Comm_Parity_Nodes(Z7, Z26, Z27, Z8, Z9, Z6/Z15)</f>
        <v>38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AF06-660E-4C87-92B6-5C9221571D00}">
  <sheetPr codeName="Sheet1"/>
  <dimension ref="B1:Z31"/>
  <sheetViews>
    <sheetView zoomScale="130" zoomScaleNormal="130" workbookViewId="0">
      <selection activeCell="K27" sqref="K27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2" width="12.6640625" style="7" customWidth="1"/>
    <col min="23" max="26" width="12.6640625" customWidth="1"/>
  </cols>
  <sheetData>
    <row r="1" spans="2:26" x14ac:dyDescent="0.2">
      <c r="I1" s="21"/>
      <c r="J1" s="21"/>
      <c r="K1" s="21"/>
      <c r="L1" s="21"/>
      <c r="M1" s="21"/>
      <c r="N1" s="21"/>
      <c r="O1" s="21"/>
    </row>
    <row r="2" spans="2:26" x14ac:dyDescent="0.2">
      <c r="B2" s="3" t="s">
        <v>0</v>
      </c>
      <c r="D2" s="17" t="s">
        <v>59</v>
      </c>
      <c r="E2" s="17" t="s">
        <v>60</v>
      </c>
      <c r="F2" s="17" t="s">
        <v>61</v>
      </c>
      <c r="G2" s="17" t="s">
        <v>62</v>
      </c>
      <c r="H2" s="17" t="s">
        <v>63</v>
      </c>
      <c r="I2" s="18" t="s">
        <v>64</v>
      </c>
      <c r="J2" s="18" t="s">
        <v>65</v>
      </c>
      <c r="K2" s="18" t="s">
        <v>66</v>
      </c>
      <c r="L2" s="18" t="s">
        <v>67</v>
      </c>
      <c r="M2" s="18" t="s">
        <v>68</v>
      </c>
      <c r="N2" s="18" t="s">
        <v>69</v>
      </c>
      <c r="O2" s="18" t="s">
        <v>70</v>
      </c>
      <c r="P2" s="18" t="s">
        <v>71</v>
      </c>
      <c r="Q2" s="17" t="s">
        <v>72</v>
      </c>
      <c r="R2" s="18" t="s">
        <v>73</v>
      </c>
      <c r="S2" s="18" t="s">
        <v>74</v>
      </c>
      <c r="T2" s="17" t="s">
        <v>75</v>
      </c>
      <c r="U2" s="18" t="s">
        <v>76</v>
      </c>
      <c r="V2" s="18" t="s">
        <v>77</v>
      </c>
      <c r="W2" s="18" t="s">
        <v>78</v>
      </c>
      <c r="X2" s="18" t="s">
        <v>79</v>
      </c>
      <c r="Y2" s="18" t="s">
        <v>80</v>
      </c>
      <c r="Z2" s="18" t="s">
        <v>81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20">
        <v>100</v>
      </c>
      <c r="J3" s="20">
        <v>100</v>
      </c>
      <c r="K3" s="20">
        <v>100</v>
      </c>
      <c r="L3" s="15">
        <v>100</v>
      </c>
      <c r="M3" s="15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15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20">
        <v>1</v>
      </c>
      <c r="J4" s="20">
        <v>1</v>
      </c>
      <c r="K4" s="20">
        <v>1</v>
      </c>
      <c r="L4" s="15">
        <v>1</v>
      </c>
      <c r="M4" s="15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15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16</v>
      </c>
      <c r="E5" s="15">
        <v>16</v>
      </c>
      <c r="F5" s="15">
        <v>16</v>
      </c>
      <c r="G5" s="15">
        <v>16</v>
      </c>
      <c r="H5" s="6">
        <v>16</v>
      </c>
      <c r="I5" s="20">
        <v>16</v>
      </c>
      <c r="J5" s="20">
        <v>16</v>
      </c>
      <c r="K5" s="20">
        <v>16</v>
      </c>
      <c r="L5" s="15">
        <v>16</v>
      </c>
      <c r="M5" s="15">
        <v>16</v>
      </c>
      <c r="N5" s="20">
        <v>16</v>
      </c>
      <c r="O5" s="20">
        <v>16</v>
      </c>
      <c r="P5" s="15">
        <v>16</v>
      </c>
      <c r="Q5" s="6">
        <v>16</v>
      </c>
      <c r="R5" s="20">
        <v>16</v>
      </c>
      <c r="S5" s="20">
        <v>16</v>
      </c>
      <c r="T5" s="6">
        <v>16</v>
      </c>
      <c r="U5" s="15">
        <v>16</v>
      </c>
      <c r="V5" s="15">
        <v>16</v>
      </c>
      <c r="W5" s="15">
        <v>16</v>
      </c>
      <c r="X5" s="20">
        <v>16</v>
      </c>
      <c r="Y5" s="20">
        <v>16</v>
      </c>
      <c r="Z5" s="6">
        <v>16</v>
      </c>
    </row>
    <row r="6" spans="2:26" x14ac:dyDescent="0.2">
      <c r="B6" s="5" t="s">
        <v>3</v>
      </c>
      <c r="D6" s="6">
        <v>16</v>
      </c>
      <c r="E6" s="15">
        <v>16</v>
      </c>
      <c r="F6" s="15">
        <v>16</v>
      </c>
      <c r="G6" s="15">
        <v>16</v>
      </c>
      <c r="H6" s="7">
        <v>16</v>
      </c>
      <c r="I6" s="20">
        <v>16</v>
      </c>
      <c r="J6" s="20">
        <v>16</v>
      </c>
      <c r="K6" s="20">
        <v>16</v>
      </c>
      <c r="L6" s="15">
        <v>16</v>
      </c>
      <c r="M6" s="15">
        <v>16</v>
      </c>
      <c r="N6" s="20">
        <v>16</v>
      </c>
      <c r="O6" s="20">
        <v>16</v>
      </c>
      <c r="P6" s="15">
        <v>16</v>
      </c>
      <c r="Q6" s="7">
        <v>16</v>
      </c>
      <c r="R6" s="20">
        <v>16</v>
      </c>
      <c r="S6" s="20">
        <v>16</v>
      </c>
      <c r="T6" s="6">
        <v>16</v>
      </c>
      <c r="U6" s="15">
        <v>16</v>
      </c>
      <c r="V6" s="15">
        <v>16</v>
      </c>
      <c r="W6" s="15">
        <v>16</v>
      </c>
      <c r="X6" s="20">
        <v>16</v>
      </c>
      <c r="Y6" s="20">
        <v>16</v>
      </c>
      <c r="Z6" s="7">
        <v>16</v>
      </c>
    </row>
    <row r="7" spans="2:26" x14ac:dyDescent="0.2">
      <c r="B7" s="4" t="s">
        <v>4</v>
      </c>
      <c r="D7" s="6">
        <v>273</v>
      </c>
      <c r="E7" s="15">
        <v>273</v>
      </c>
      <c r="F7" s="15">
        <v>273</v>
      </c>
      <c r="G7" s="15">
        <v>273</v>
      </c>
      <c r="H7" s="6">
        <v>273</v>
      </c>
      <c r="I7" s="20">
        <v>273</v>
      </c>
      <c r="J7" s="20">
        <v>273</v>
      </c>
      <c r="K7" s="20">
        <v>273</v>
      </c>
      <c r="L7" s="15">
        <v>273</v>
      </c>
      <c r="M7" s="15">
        <v>273</v>
      </c>
      <c r="N7" s="20">
        <v>273</v>
      </c>
      <c r="O7" s="20">
        <v>273</v>
      </c>
      <c r="P7" s="15">
        <v>273</v>
      </c>
      <c r="Q7" s="6">
        <v>273</v>
      </c>
      <c r="R7" s="20">
        <v>273</v>
      </c>
      <c r="S7" s="20">
        <v>273</v>
      </c>
      <c r="T7" s="6">
        <v>273</v>
      </c>
      <c r="U7" s="15">
        <v>273</v>
      </c>
      <c r="V7" s="15">
        <v>273</v>
      </c>
      <c r="W7" s="15">
        <v>273</v>
      </c>
      <c r="X7" s="20">
        <v>273</v>
      </c>
      <c r="Y7" s="20">
        <v>273</v>
      </c>
      <c r="Z7" s="6">
        <v>273</v>
      </c>
    </row>
    <row r="8" spans="2:26" x14ac:dyDescent="0.2">
      <c r="B8" s="4" t="s">
        <v>5</v>
      </c>
      <c r="D8" s="6">
        <v>12</v>
      </c>
      <c r="E8" s="15">
        <v>12</v>
      </c>
      <c r="F8" s="15">
        <v>12</v>
      </c>
      <c r="G8" s="15">
        <v>12</v>
      </c>
      <c r="H8" s="7">
        <v>12</v>
      </c>
      <c r="I8" s="20">
        <v>12</v>
      </c>
      <c r="J8" s="20">
        <v>12</v>
      </c>
      <c r="K8" s="20">
        <v>12</v>
      </c>
      <c r="L8" s="15">
        <v>12</v>
      </c>
      <c r="M8" s="15">
        <v>12</v>
      </c>
      <c r="N8" s="20">
        <v>12</v>
      </c>
      <c r="O8" s="20">
        <v>12</v>
      </c>
      <c r="P8" s="15">
        <v>12</v>
      </c>
      <c r="Q8" s="7">
        <v>12</v>
      </c>
      <c r="R8" s="20">
        <v>12</v>
      </c>
      <c r="S8" s="20">
        <v>12</v>
      </c>
      <c r="T8" s="6">
        <v>12</v>
      </c>
      <c r="U8" s="15">
        <v>12</v>
      </c>
      <c r="V8" s="15">
        <v>12</v>
      </c>
      <c r="W8" s="15">
        <v>12</v>
      </c>
      <c r="X8" s="20">
        <v>12</v>
      </c>
      <c r="Y8" s="20">
        <v>12</v>
      </c>
      <c r="Z8" s="7">
        <v>12</v>
      </c>
    </row>
    <row r="9" spans="2:26" x14ac:dyDescent="0.2">
      <c r="B9" s="4" t="s">
        <v>6</v>
      </c>
      <c r="D9" s="6">
        <v>2</v>
      </c>
      <c r="E9" s="15">
        <v>2</v>
      </c>
      <c r="F9" s="15">
        <v>2</v>
      </c>
      <c r="G9" s="15">
        <v>2</v>
      </c>
      <c r="H9" s="7">
        <v>2</v>
      </c>
      <c r="I9" s="20">
        <v>2</v>
      </c>
      <c r="J9" s="20">
        <v>2</v>
      </c>
      <c r="K9" s="20">
        <v>2</v>
      </c>
      <c r="L9" s="15">
        <v>2</v>
      </c>
      <c r="M9" s="15">
        <v>2</v>
      </c>
      <c r="N9" s="20">
        <v>2</v>
      </c>
      <c r="O9" s="20">
        <v>2</v>
      </c>
      <c r="P9" s="15">
        <v>2</v>
      </c>
      <c r="Q9" s="7">
        <v>2</v>
      </c>
      <c r="R9" s="20">
        <v>2</v>
      </c>
      <c r="S9" s="20">
        <v>2</v>
      </c>
      <c r="T9" s="6">
        <v>2</v>
      </c>
      <c r="U9" s="15">
        <v>2</v>
      </c>
      <c r="V9" s="15">
        <v>2</v>
      </c>
      <c r="W9" s="15">
        <v>2</v>
      </c>
      <c r="X9" s="20">
        <v>2</v>
      </c>
      <c r="Y9" s="20">
        <v>2</v>
      </c>
      <c r="Z9" s="7">
        <v>2</v>
      </c>
    </row>
    <row r="10" spans="2:26" x14ac:dyDescent="0.2">
      <c r="B10" s="11" t="s">
        <v>7</v>
      </c>
      <c r="D10" s="6">
        <v>2</v>
      </c>
      <c r="E10" s="15">
        <v>2</v>
      </c>
      <c r="F10" s="15">
        <v>2</v>
      </c>
      <c r="G10" s="15">
        <v>2</v>
      </c>
      <c r="H10" s="7">
        <v>2</v>
      </c>
      <c r="I10" s="20">
        <v>2</v>
      </c>
      <c r="J10" s="20">
        <v>2</v>
      </c>
      <c r="K10" s="20">
        <v>2</v>
      </c>
      <c r="L10" s="15">
        <v>2</v>
      </c>
      <c r="M10" s="15">
        <v>2</v>
      </c>
      <c r="N10" s="20">
        <v>2</v>
      </c>
      <c r="O10" s="20">
        <v>2</v>
      </c>
      <c r="P10" s="15">
        <v>2</v>
      </c>
      <c r="Q10" s="7">
        <v>2</v>
      </c>
      <c r="R10" s="20">
        <v>2</v>
      </c>
      <c r="S10" s="20">
        <v>2</v>
      </c>
      <c r="T10" s="6">
        <v>2</v>
      </c>
      <c r="U10" s="15">
        <v>2</v>
      </c>
      <c r="V10" s="15">
        <v>2</v>
      </c>
      <c r="W10" s="15">
        <v>2</v>
      </c>
      <c r="X10" s="20">
        <v>2</v>
      </c>
      <c r="Y10" s="20">
        <v>2</v>
      </c>
      <c r="Z10" s="7">
        <v>2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20">
        <v>0</v>
      </c>
      <c r="J11" s="20">
        <v>0</v>
      </c>
      <c r="K11" s="20">
        <v>0</v>
      </c>
      <c r="L11" s="15">
        <v>0</v>
      </c>
      <c r="M11" s="15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15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128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129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20">
        <v>1</v>
      </c>
      <c r="J14" s="20">
        <v>1</v>
      </c>
      <c r="K14" s="20">
        <v>1</v>
      </c>
      <c r="L14" s="15">
        <v>1</v>
      </c>
      <c r="M14" s="15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15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4</v>
      </c>
      <c r="E15" s="15">
        <v>4</v>
      </c>
      <c r="F15" s="15">
        <v>4</v>
      </c>
      <c r="G15" s="15">
        <v>4</v>
      </c>
      <c r="H15" s="6">
        <v>4</v>
      </c>
      <c r="I15" s="20">
        <v>4</v>
      </c>
      <c r="J15" s="20">
        <v>4</v>
      </c>
      <c r="K15" s="20">
        <v>4</v>
      </c>
      <c r="L15" s="15">
        <v>4</v>
      </c>
      <c r="M15" s="15">
        <v>4</v>
      </c>
      <c r="N15" s="20">
        <v>4</v>
      </c>
      <c r="O15" s="20">
        <v>4</v>
      </c>
      <c r="P15" s="15">
        <v>4</v>
      </c>
      <c r="Q15" s="6">
        <v>4</v>
      </c>
      <c r="R15" s="20">
        <v>4</v>
      </c>
      <c r="S15" s="20">
        <v>4</v>
      </c>
      <c r="T15" s="6">
        <v>4</v>
      </c>
      <c r="U15" s="15">
        <v>4</v>
      </c>
      <c r="V15" s="15">
        <v>4</v>
      </c>
      <c r="W15" s="15">
        <v>4</v>
      </c>
      <c r="X15" s="20">
        <v>4</v>
      </c>
      <c r="Y15" s="20">
        <v>4</v>
      </c>
      <c r="Z15" s="6">
        <v>4</v>
      </c>
    </row>
    <row r="16" spans="2:26" x14ac:dyDescent="0.2">
      <c r="B16" s="4" t="s">
        <v>13</v>
      </c>
      <c r="D16" s="6">
        <v>4</v>
      </c>
      <c r="E16" s="15">
        <v>4</v>
      </c>
      <c r="F16" s="15">
        <v>4</v>
      </c>
      <c r="G16" s="15">
        <v>4</v>
      </c>
      <c r="H16" s="6">
        <v>4</v>
      </c>
      <c r="I16" s="20">
        <v>4</v>
      </c>
      <c r="J16" s="20">
        <v>4</v>
      </c>
      <c r="K16" s="20">
        <v>4</v>
      </c>
      <c r="L16" s="15">
        <v>4</v>
      </c>
      <c r="M16" s="15">
        <v>4</v>
      </c>
      <c r="N16" s="20">
        <v>4</v>
      </c>
      <c r="O16" s="20">
        <v>4</v>
      </c>
      <c r="P16" s="15">
        <v>4</v>
      </c>
      <c r="Q16" s="6">
        <v>4</v>
      </c>
      <c r="R16" s="20">
        <v>4</v>
      </c>
      <c r="S16" s="20">
        <v>4</v>
      </c>
      <c r="T16" s="6">
        <v>4</v>
      </c>
      <c r="U16" s="15">
        <v>4</v>
      </c>
      <c r="V16" s="15">
        <v>4</v>
      </c>
      <c r="W16" s="15">
        <v>4</v>
      </c>
      <c r="X16" s="20">
        <v>4</v>
      </c>
      <c r="Y16" s="20">
        <v>4</v>
      </c>
      <c r="Z16" s="6">
        <v>4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20" t="s">
        <v>31</v>
      </c>
      <c r="J17" s="20" t="s">
        <v>31</v>
      </c>
      <c r="K17" s="20" t="s">
        <v>31</v>
      </c>
      <c r="L17" s="15" t="s">
        <v>31</v>
      </c>
      <c r="M17" s="15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15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20" t="s">
        <v>17</v>
      </c>
      <c r="J18" s="20" t="s">
        <v>17</v>
      </c>
      <c r="K18" s="20" t="s">
        <v>17</v>
      </c>
      <c r="L18" s="15" t="s">
        <v>17</v>
      </c>
      <c r="M18" s="15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15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20" t="s">
        <v>17</v>
      </c>
      <c r="J19" s="20" t="s">
        <v>17</v>
      </c>
      <c r="K19" s="20" t="s">
        <v>17</v>
      </c>
      <c r="L19" s="15" t="s">
        <v>17</v>
      </c>
      <c r="M19" s="15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15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20">
        <v>1</v>
      </c>
      <c r="J20" s="20">
        <v>1</v>
      </c>
      <c r="K20" s="20">
        <v>1</v>
      </c>
      <c r="L20" s="15">
        <v>1</v>
      </c>
      <c r="M20" s="15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15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19"/>
      <c r="J21" s="19"/>
      <c r="K21" s="19"/>
      <c r="L21" s="9"/>
      <c r="M21" s="9"/>
      <c r="N21" s="19"/>
      <c r="O21" s="19"/>
      <c r="P21" s="9"/>
      <c r="Q21" s="9"/>
      <c r="R21" s="19"/>
      <c r="S21" s="19"/>
      <c r="T21" s="9"/>
      <c r="U21" s="9"/>
      <c r="V21" s="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20" t="s">
        <v>22</v>
      </c>
      <c r="J22" s="20" t="s">
        <v>22</v>
      </c>
      <c r="K22" s="20" t="s">
        <v>22</v>
      </c>
      <c r="L22" s="15" t="s">
        <v>22</v>
      </c>
      <c r="M22" s="15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15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20">
        <v>0</v>
      </c>
      <c r="J23" s="20">
        <v>0</v>
      </c>
      <c r="K23" s="20">
        <v>0</v>
      </c>
      <c r="L23" s="15">
        <v>0</v>
      </c>
      <c r="M23" s="15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15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20" t="s">
        <v>25</v>
      </c>
      <c r="J24" s="20" t="s">
        <v>25</v>
      </c>
      <c r="K24" s="20" t="s">
        <v>25</v>
      </c>
      <c r="L24" s="15" t="s">
        <v>25</v>
      </c>
      <c r="M24" s="15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15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19"/>
      <c r="J25" s="19"/>
      <c r="K25" s="19"/>
      <c r="L25" s="9"/>
      <c r="M25" s="9"/>
      <c r="N25" s="19"/>
      <c r="O25" s="19"/>
      <c r="P25" s="9"/>
      <c r="Q25" s="9"/>
      <c r="R25" s="19"/>
      <c r="S25" s="19"/>
      <c r="T25" s="9"/>
      <c r="U25" s="9"/>
      <c r="V25" s="9"/>
      <c r="W25" s="9"/>
      <c r="X25" s="19"/>
      <c r="Y25" s="19"/>
      <c r="Z25" s="9"/>
    </row>
    <row r="26" spans="2:26" x14ac:dyDescent="0.2">
      <c r="B26" s="22" t="s">
        <v>9</v>
      </c>
      <c r="D26" cm="1">
        <f t="array" ref="D26">Comm_MCS_ModOrd(D12,D13)</f>
        <v>8</v>
      </c>
      <c r="E26" s="23" cm="1">
        <f t="array" ref="E26">Comm_MCS_ModOrd(E12,E13)</f>
        <v>8</v>
      </c>
      <c r="F26" s="23" cm="1">
        <f t="array" ref="F26">Comm_MCS_ModOrd(F12,F13)</f>
        <v>8</v>
      </c>
      <c r="G26" s="23" cm="1">
        <f t="array" ref="G26">Comm_MCS_ModOrd(G12,G13)</f>
        <v>8</v>
      </c>
      <c r="H26" cm="1">
        <f t="array" ref="H26">Comm_MCS_ModOrd(H12,H13)</f>
        <v>8</v>
      </c>
      <c r="I26" s="23" cm="1">
        <f t="array" ref="I26">Comm_MCS_ModOrd(I12,I13)</f>
        <v>8</v>
      </c>
      <c r="J26" s="23" cm="1">
        <f t="array" ref="J26">Comm_MCS_ModOrd(J12,J13)</f>
        <v>8</v>
      </c>
      <c r="K26" s="23" cm="1">
        <f t="array" ref="K26">Comm_MCS_ModOrd(K12,K13)</f>
        <v>8</v>
      </c>
      <c r="L26" s="23" cm="1">
        <f t="array" ref="L26">Comm_MCS_ModOrd(L12,L13)</f>
        <v>6</v>
      </c>
      <c r="M26" s="23" cm="1">
        <f t="array" ref="M26">Comm_MCS_ModOrd(M12,M13)</f>
        <v>6</v>
      </c>
      <c r="N26" s="23" cm="1">
        <f t="array" ref="N26">Comm_MCS_ModOrd(N12,N13)</f>
        <v>6</v>
      </c>
      <c r="O26" s="23" cm="1">
        <f t="array" ref="O26">Comm_MCS_ModOrd(O12,O13)</f>
        <v>6</v>
      </c>
      <c r="P26" s="23" cm="1">
        <f t="array" ref="P26">Comm_MCS_ModOrd(P12,P13)</f>
        <v>6</v>
      </c>
      <c r="Q26" cm="1">
        <f t="array" ref="Q26">Comm_MCS_ModOrd(Q12,Q13)</f>
        <v>6</v>
      </c>
      <c r="R26" s="23" cm="1">
        <f t="array" ref="R26">Comm_MCS_ModOrd(R12,R13)</f>
        <v>6</v>
      </c>
      <c r="S26" s="23" cm="1">
        <f t="array" ref="S26">Comm_MCS_ModOrd(S12,S13)</f>
        <v>6</v>
      </c>
      <c r="T26" cm="1">
        <f t="array" ref="T26">Comm_MCS_ModOrd(T12,T13)</f>
        <v>6</v>
      </c>
      <c r="U26" s="23" cm="1">
        <f t="array" ref="U26">Comm_MCS_ModOrd(U12,U13)</f>
        <v>4</v>
      </c>
      <c r="V26" s="23" cm="1">
        <f t="array" ref="V26">Comm_MCS_ModOrd(V12,V13)</f>
        <v>4</v>
      </c>
      <c r="W26" s="23" cm="1">
        <f t="array" ref="W26">Comm_MCS_ModOrd(W12,W13)</f>
        <v>4</v>
      </c>
      <c r="X26" s="23" cm="1">
        <f t="array" ref="X26">Comm_MCS_ModOrd(X12,X13)</f>
        <v>4</v>
      </c>
      <c r="Y26" s="23" cm="1">
        <f t="array" ref="Y26">Comm_MCS_ModOrd(Y12,Y13)</f>
        <v>4</v>
      </c>
      <c r="Z26" cm="1">
        <f t="array" ref="Z26">Comm_MCS_ModOrd(Z12,Z13)</f>
        <v>4</v>
      </c>
    </row>
    <row r="27" spans="2:26" x14ac:dyDescent="0.2">
      <c r="B27" s="22" t="s">
        <v>10</v>
      </c>
      <c r="D27" cm="1">
        <f t="array" ref="D27">Comm_MCS_CodeRate(D12,D13)</f>
        <v>948</v>
      </c>
      <c r="E27" s="23" cm="1">
        <f t="array" ref="E27">Comm_MCS_CodeRate(E12,E13)</f>
        <v>916.5</v>
      </c>
      <c r="F27" s="23" cm="1">
        <f t="array" ref="F27">Comm_MCS_CodeRate(F12,F13)</f>
        <v>885</v>
      </c>
      <c r="G27" s="23" cm="1">
        <f t="array" ref="G27">Comm_MCS_CodeRate(G12,G13)</f>
        <v>841</v>
      </c>
      <c r="H27" cm="1">
        <f t="array" ref="H27">Comm_MCS_CodeRate(H12,H13)</f>
        <v>797</v>
      </c>
      <c r="I27" s="23" cm="1">
        <f t="array" ref="I27">Comm_MCS_CodeRate(I12,I13)</f>
        <v>754</v>
      </c>
      <c r="J27" s="23" cm="1">
        <f t="array" ref="J27">Comm_MCS_CodeRate(J12,J13)</f>
        <v>711</v>
      </c>
      <c r="K27" s="23" cm="1">
        <f t="array" ref="K27">Comm_MCS_CodeRate(K12,K13)</f>
        <v>682.5</v>
      </c>
      <c r="L27" s="23" cm="1">
        <f t="array" ref="L27">Comm_MCS_CodeRate(L12,L13)</f>
        <v>873</v>
      </c>
      <c r="M27" s="23" cm="1">
        <f t="array" ref="M27">Comm_MCS_CodeRate(M12,M13)</f>
        <v>822</v>
      </c>
      <c r="N27" s="23" cm="1">
        <f t="array" ref="N27">Comm_MCS_CodeRate(N12,N13)</f>
        <v>772</v>
      </c>
      <c r="O27" s="23" cm="1">
        <f t="array" ref="O27">Comm_MCS_CodeRate(O12,O13)</f>
        <v>719</v>
      </c>
      <c r="P27" s="23" cm="1">
        <f t="array" ref="P27">Comm_MCS_CodeRate(P12,P13)</f>
        <v>666</v>
      </c>
      <c r="Q27" cm="1">
        <f t="array" ref="Q27">Comm_MCS_CodeRate(Q12,Q13)</f>
        <v>616</v>
      </c>
      <c r="R27" s="23" cm="1">
        <f t="array" ref="R27">Comm_MCS_CodeRate(R12,R13)</f>
        <v>567</v>
      </c>
      <c r="S27" s="23" cm="1">
        <f t="array" ref="S27">Comm_MCS_CodeRate(S12,S13)</f>
        <v>517</v>
      </c>
      <c r="T27" cm="1">
        <f t="array" ref="T27">Comm_MCS_CodeRate(T12,T13)</f>
        <v>466</v>
      </c>
      <c r="U27" s="23" cm="1">
        <f t="array" ref="U27">Comm_MCS_CodeRate(U12,U13)</f>
        <v>658</v>
      </c>
      <c r="V27" s="23" cm="1">
        <f t="array" ref="V27">Comm_MCS_CodeRate(V12,V13)</f>
        <v>616</v>
      </c>
      <c r="W27" s="23" cm="1">
        <f t="array" ref="W27">Comm_MCS_CodeRate(W12,W13)</f>
        <v>553</v>
      </c>
      <c r="X27" s="23" cm="1">
        <f t="array" ref="X27">Comm_MCS_CodeRate(X12,X13)</f>
        <v>490</v>
      </c>
      <c r="Y27" s="23" cm="1">
        <f t="array" ref="Y27">Comm_MCS_CodeRate(Y12,Y13)</f>
        <v>434</v>
      </c>
      <c r="Z2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24" cm="1">
        <f t="array" ref="E28">Comm_Z(E7, E26, E27, E8, E9, E6/E15)</f>
        <v>384</v>
      </c>
      <c r="F28" s="24" cm="1">
        <f t="array" ref="F28">Comm_Z(F7, F26, F27, F8, F9, F6/F15)</f>
        <v>384</v>
      </c>
      <c r="G28" s="24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4" cm="1">
        <f t="array" ref="U28">Comm_Z(U7, U26, U27, U8, U9, U6/U15)</f>
        <v>384</v>
      </c>
      <c r="V28" s="20" cm="1">
        <f t="array" ref="V28">Comm_Z(V7, V26, V27, V8, V9, V6/V15)</f>
        <v>384</v>
      </c>
      <c r="W28" s="24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966896</v>
      </c>
      <c r="E29" s="16" cm="1">
        <f t="array" ref="E29">Comm_TBS(E7, E26, E27, E8, E9, E6/E15)</f>
        <v>934152</v>
      </c>
      <c r="F29" s="16" cm="1">
        <f t="array" ref="F29">Comm_TBS(F7, F26, F27, F8, F9, F6/F15)</f>
        <v>901344</v>
      </c>
      <c r="G29" s="16" cm="1">
        <f t="array" ref="G29">Comm_TBS(G7, G26, G27, G8, G9, G6/G15)</f>
        <v>868584</v>
      </c>
      <c r="H29" s="10" cm="1">
        <f t="array" ref="H29">Comm_TBS(H7, H26, H27, H8, H9, H6/H15)</f>
        <v>819256</v>
      </c>
      <c r="I29" s="16" cm="1">
        <f t="array" ref="I29">Comm_TBS(I7, I26, I27, I8, I9, I6/I15)</f>
        <v>770568</v>
      </c>
      <c r="J29" s="16" cm="1">
        <f t="array" ref="J29">Comm_TBS(J7, J26, J27, J8, J9, J6/J15)</f>
        <v>721000</v>
      </c>
      <c r="K29" s="16" cm="1">
        <f t="array" ref="K29">Comm_TBS(K7, K26, K27, K8, K9, K6/K15)</f>
        <v>704904</v>
      </c>
      <c r="L29" s="16" cm="1">
        <f t="array" ref="L29">Comm_TBS(L7, L26, L27, L8, L9, L6/L15)</f>
        <v>671976</v>
      </c>
      <c r="M29" s="16" cm="1">
        <f t="array" ref="M29">Comm_TBS(M7, M26, M27, M8, M9, M6/M15)</f>
        <v>638984</v>
      </c>
      <c r="N29" s="16" cm="1">
        <f t="array" ref="N29">Comm_TBS(N7, N26, N27, N8, N9, N6/N15)</f>
        <v>590128</v>
      </c>
      <c r="O29" s="16" cm="1">
        <f t="array" ref="O29">Comm_TBS(O7, O26, O27, O8, O9, O6/O15)</f>
        <v>557416</v>
      </c>
      <c r="P29" s="16" cm="1">
        <f t="array" ref="P29">Comm_TBS(P7, P26, P27, P8, P9, P6/P15)</f>
        <v>507984</v>
      </c>
      <c r="Q29" s="10" cm="1">
        <f t="array" ref="Q29">Comm_TBS(Q7, Q26, Q27, Q8, Q9, Q6/Q15)</f>
        <v>475584</v>
      </c>
      <c r="R29" s="16" cm="1">
        <f t="array" ref="R29">Comm_TBS(R7, R26, R27, R8, R9, R6/R15)</f>
        <v>434280</v>
      </c>
      <c r="S29" s="16" cm="1">
        <f t="array" ref="S29">Comm_TBS(S7, S26, S27, S8, S9, S6/S15)</f>
        <v>393272</v>
      </c>
      <c r="T29" s="10" cm="1">
        <f t="array" ref="T29">Comm_TBS(T7, T26, T27, T8, T9, T6/T15)</f>
        <v>360488</v>
      </c>
      <c r="U29" s="24" cm="1">
        <f t="array" ref="U29">Comm_TBS(U7, U26, U27, U8, U9, U6/U15)</f>
        <v>335976</v>
      </c>
      <c r="V29" s="24" cm="1">
        <f t="array" ref="V29">Comm_TBS(V7, V26, V27, V8, V9, V6/V15)</f>
        <v>311368</v>
      </c>
      <c r="W29" s="24" cm="1">
        <f t="array" ref="W29">Comm_TBS(W7, W26, W27, W8, W9, W6/W15)</f>
        <v>286976</v>
      </c>
      <c r="X29" s="24" cm="1">
        <f t="array" ref="X29">Comm_TBS(X7, X26, X27, X8, X9, X6/X15)</f>
        <v>250056</v>
      </c>
      <c r="Y29" s="24" cm="1">
        <f t="array" ref="Y29">Comm_TBS(Y7, Y26, Y27, Y8, Y9, Y6/Y15)</f>
        <v>221376</v>
      </c>
      <c r="Z29" s="10" cm="1">
        <f t="array" ref="Z29">Comm_TBS(Z7, Z26, Z27, Z8, Z9, Z6/Z15)</f>
        <v>192624</v>
      </c>
    </row>
    <row r="30" spans="2:26" x14ac:dyDescent="0.2">
      <c r="B30" s="1" t="s">
        <v>29</v>
      </c>
      <c r="D30" s="10" cm="1">
        <f t="array" ref="D30">Comm_CB(D7, D26, D27, D8, D9, D6/D15)</f>
        <v>115</v>
      </c>
      <c r="E30" s="16" cm="1">
        <f t="array" ref="E30">Comm_CB(E7, E26, E27, E8, E9, E6/E15)</f>
        <v>111</v>
      </c>
      <c r="F30" s="16" cm="1">
        <f t="array" ref="F30">Comm_CB(F7, F26, F27, F8, F9, F6/F15)</f>
        <v>107</v>
      </c>
      <c r="G30" s="16" cm="1">
        <f t="array" ref="G30">Comm_CB(G7, G26, G27, G8, G9, G6/G15)</f>
        <v>104</v>
      </c>
      <c r="H30" s="10" cm="1">
        <f t="array" ref="H30">Comm_CB(H7, H26, H27, H8, H9, H6/H15)</f>
        <v>98</v>
      </c>
      <c r="I30" s="16" cm="1">
        <f t="array" ref="I30">Comm_CB(I7, I26, I27, I8, I9, I6/I15)</f>
        <v>92</v>
      </c>
      <c r="J30" s="16" cm="1">
        <f t="array" ref="J30">Comm_CB(J7, J26, J27, J8, J9, J6/J15)</f>
        <v>86</v>
      </c>
      <c r="K30" s="16" cm="1">
        <f t="array" ref="K30">Comm_CB(K7, K26, K27, K8, K9, K6/K15)</f>
        <v>84</v>
      </c>
      <c r="L30" s="16" cm="1">
        <f t="array" ref="L30">Comm_CB(L7, L26, L27, L8, L9, L6/L15)</f>
        <v>80</v>
      </c>
      <c r="M30" s="16" cm="1">
        <f t="array" ref="M30">Comm_CB(M7, M26, M27, M8, M9, M6/M15)</f>
        <v>76</v>
      </c>
      <c r="N30" s="16" cm="1">
        <f t="array" ref="N30">Comm_CB(N7, N26, N27, N8, N9, N6/N15)</f>
        <v>71</v>
      </c>
      <c r="O30" s="16" cm="1">
        <f t="array" ref="O30">Comm_CB(O7, O26, O27, O8, O9, O6/O15)</f>
        <v>67</v>
      </c>
      <c r="P30" s="16" cm="1">
        <f t="array" ref="P30">Comm_CB(P7, P26, P27, P8, P9, P6/P15)</f>
        <v>61</v>
      </c>
      <c r="Q30" s="10" cm="1">
        <f t="array" ref="Q30">Comm_CB(Q7, Q26, Q27, Q8, Q9, Q6/Q15)</f>
        <v>57</v>
      </c>
      <c r="R30" s="16" cm="1">
        <f t="array" ref="R30">Comm_CB(R7, R26, R27, R8, R9, R6/R15)</f>
        <v>52</v>
      </c>
      <c r="S30" s="16" cm="1">
        <f t="array" ref="S30">Comm_CB(S7, S26, S27, S8, S9, S6/S15)</f>
        <v>47</v>
      </c>
      <c r="T30" s="10" cm="1">
        <f t="array" ref="T30">Comm_CB(T7, T26, T27, T8, T9, T6/T15)</f>
        <v>43</v>
      </c>
      <c r="U30" s="16" cm="1">
        <f t="array" ref="U30">Comm_CB(U7, U26, U27, U8, U9, U6/U15)</f>
        <v>40</v>
      </c>
      <c r="V30" s="16" cm="1">
        <f t="array" ref="V30">Comm_CB(V7, V26, V27, V8, V9, V6/V15)</f>
        <v>37</v>
      </c>
      <c r="W30" s="16" cm="1">
        <f t="array" ref="W30">Comm_CB(W7, W26, W27, W8, W9, W6/W15)</f>
        <v>35</v>
      </c>
      <c r="X30" s="16" cm="1">
        <f t="array" ref="X30">Comm_CB(X7, X26, X27, X8, X9, X6/X15)</f>
        <v>30</v>
      </c>
      <c r="Y30" s="16" cm="1">
        <f t="array" ref="Y30">Comm_CB(Y7, Y26, Y27, Y8, Y9, Y6/Y15)</f>
        <v>27</v>
      </c>
      <c r="Z30" s="10" cm="1">
        <f t="array" ref="Z30">Comm_CB(Z7, Z26, Z27, Z8, Z9, Z6/Z15)</f>
        <v>23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16" cm="1">
        <f t="array" ref="K31">Comm_Parity_Nodes(K7, K26, K27, K8, K9, K6/K15)</f>
        <v>13</v>
      </c>
      <c r="L31" s="16" cm="1">
        <f t="array" ref="L31">Comm_Parity_Nodes(L7, L26, L27, L8, L9, L6/L15)</f>
        <v>6</v>
      </c>
      <c r="M31" s="16" cm="1">
        <f t="array" ref="M31">Comm_Parity_Nodes(M7, M26, M27, M8, M9, M6/M15)</f>
        <v>7</v>
      </c>
      <c r="N31" s="16" cm="1">
        <f t="array" ref="N31">Comm_Parity_Nodes(N7, N26, N27, N8, N9, N6/N15)</f>
        <v>10</v>
      </c>
      <c r="O31" s="16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17</v>
      </c>
      <c r="R31" s="16" cm="1">
        <f t="array" ref="R31">Comm_Parity_Nodes(R7, R26, R27, R8, R9, R6/R15)</f>
        <v>20</v>
      </c>
      <c r="S31" s="16" cm="1">
        <f t="array" ref="S31">Comm_Parity_Nodes(S7, S26, S27, S8, S9, S6/S15)</f>
        <v>24</v>
      </c>
      <c r="T31" s="10" cm="1">
        <f t="array" ref="T31">Comm_Parity_Nodes(T7, T26, T27, T8, T9, T6/T15)</f>
        <v>28</v>
      </c>
      <c r="U31" s="16" cm="1">
        <f t="array" ref="U31">Comm_Parity_Nodes(U7, U26, U27, U8, U9, U6/U15)</f>
        <v>15</v>
      </c>
      <c r="V31" s="16" cm="1">
        <f t="array" ref="V31">Comm_Parity_Nodes(V7, V26, V27, V8, V9, V6/V15)</f>
        <v>17</v>
      </c>
      <c r="W31" s="16" cm="1">
        <f t="array" ref="W31">Comm_Parity_Nodes(W7, W26, W27, W8, W9, W6/W15)</f>
        <v>20</v>
      </c>
      <c r="X31" s="16" cm="1">
        <f t="array" ref="X31">Comm_Parity_Nodes(X7, X26, X27, X8, X9, X6/X15)</f>
        <v>26</v>
      </c>
      <c r="Y31" s="16" cm="1">
        <f t="array" ref="Y31">Comm_Parity_Nodes(Y7, Y26, Y27, Y8, Y9, Y6/Y15)</f>
        <v>32</v>
      </c>
      <c r="Z31" s="10" cm="1">
        <f t="array" ref="Z31">Comm_Parity_Nodes(Z7, Z26, Z27, Z8, Z9, Z6/Z15)</f>
        <v>40</v>
      </c>
    </row>
  </sheetData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3A6EA-F519-4893-A5D5-CB0001F506B8}">
  <sheetPr codeName="Sheet2"/>
  <dimension ref="B2:Z54"/>
  <sheetViews>
    <sheetView zoomScale="130" zoomScaleNormal="130" workbookViewId="0">
      <selection activeCell="G32" sqref="G32"/>
    </sheetView>
  </sheetViews>
  <sheetFormatPr baseColWidth="10" defaultColWidth="8.83203125" defaultRowHeight="15" x14ac:dyDescent="0.2"/>
  <cols>
    <col min="1" max="1" width="2.6640625" customWidth="1"/>
    <col min="2" max="2" width="28.83203125" customWidth="1"/>
    <col min="3" max="3" width="1.6640625" customWidth="1"/>
    <col min="4" max="25" width="12.6640625" style="7" customWidth="1"/>
    <col min="26" max="26" width="12.6640625" customWidth="1"/>
  </cols>
  <sheetData>
    <row r="2" spans="2:26" x14ac:dyDescent="0.2">
      <c r="B2" s="3" t="s">
        <v>0</v>
      </c>
      <c r="D2" s="12" t="s">
        <v>58</v>
      </c>
      <c r="E2" s="17" t="s">
        <v>36</v>
      </c>
      <c r="F2" s="13" t="s">
        <v>37</v>
      </c>
      <c r="G2" s="18" t="s">
        <v>38</v>
      </c>
      <c r="H2" s="17" t="s">
        <v>39</v>
      </c>
      <c r="I2" s="17" t="s">
        <v>40</v>
      </c>
      <c r="J2" s="17" t="s">
        <v>41</v>
      </c>
      <c r="K2" s="17" t="s">
        <v>42</v>
      </c>
      <c r="L2" s="17" t="s">
        <v>43</v>
      </c>
      <c r="M2" s="17" t="s">
        <v>44</v>
      </c>
      <c r="N2" s="17" t="s">
        <v>45</v>
      </c>
      <c r="O2" s="17" t="s">
        <v>46</v>
      </c>
      <c r="P2" s="17" t="s">
        <v>47</v>
      </c>
      <c r="Q2" s="17" t="s">
        <v>48</v>
      </c>
      <c r="R2" s="17" t="s">
        <v>49</v>
      </c>
      <c r="S2" s="17" t="s">
        <v>50</v>
      </c>
      <c r="T2" s="17" t="s">
        <v>51</v>
      </c>
      <c r="U2" s="17" t="s">
        <v>52</v>
      </c>
      <c r="V2" s="17" t="s">
        <v>53</v>
      </c>
      <c r="W2" s="17" t="s">
        <v>54</v>
      </c>
      <c r="X2" s="17" t="s">
        <v>55</v>
      </c>
      <c r="Y2" s="17" t="s">
        <v>56</v>
      </c>
      <c r="Z2" s="17" t="s">
        <v>57</v>
      </c>
    </row>
    <row r="3" spans="2:26" x14ac:dyDescent="0.2">
      <c r="B3" s="4" t="s">
        <v>35</v>
      </c>
      <c r="D3" s="6">
        <v>100</v>
      </c>
      <c r="E3" s="15">
        <v>100</v>
      </c>
      <c r="F3" s="15">
        <v>100</v>
      </c>
      <c r="G3" s="15">
        <v>100</v>
      </c>
      <c r="H3" s="7">
        <v>100</v>
      </c>
      <c r="I3" s="15">
        <v>100</v>
      </c>
      <c r="J3" s="15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15">
        <v>100</v>
      </c>
      <c r="Q3" s="7">
        <v>100</v>
      </c>
      <c r="R3" s="20">
        <v>100</v>
      </c>
      <c r="S3" s="20">
        <v>100</v>
      </c>
      <c r="T3" s="6">
        <v>100</v>
      </c>
      <c r="U3" s="15">
        <v>100</v>
      </c>
      <c r="V3" s="20">
        <v>100</v>
      </c>
      <c r="W3" s="15">
        <v>100</v>
      </c>
      <c r="X3" s="20">
        <v>100</v>
      </c>
      <c r="Y3" s="20">
        <v>100</v>
      </c>
      <c r="Z3" s="7">
        <v>100</v>
      </c>
    </row>
    <row r="4" spans="2:26" x14ac:dyDescent="0.2">
      <c r="B4" s="5" t="s">
        <v>2</v>
      </c>
      <c r="D4" s="6">
        <v>1</v>
      </c>
      <c r="E4" s="15">
        <v>1</v>
      </c>
      <c r="F4" s="15">
        <v>1</v>
      </c>
      <c r="G4" s="15">
        <v>1</v>
      </c>
      <c r="H4" s="7">
        <v>1</v>
      </c>
      <c r="I4" s="15">
        <v>1</v>
      </c>
      <c r="J4" s="15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15">
        <v>1</v>
      </c>
      <c r="Q4" s="7">
        <v>1</v>
      </c>
      <c r="R4" s="20">
        <v>1</v>
      </c>
      <c r="S4" s="20">
        <v>1</v>
      </c>
      <c r="T4" s="6">
        <v>1</v>
      </c>
      <c r="U4" s="15">
        <v>1</v>
      </c>
      <c r="V4" s="20">
        <v>1</v>
      </c>
      <c r="W4" s="15">
        <v>1</v>
      </c>
      <c r="X4" s="20">
        <v>1</v>
      </c>
      <c r="Y4" s="20">
        <v>1</v>
      </c>
      <c r="Z4" s="7">
        <v>1</v>
      </c>
    </row>
    <row r="5" spans="2:26" x14ac:dyDescent="0.2">
      <c r="B5" s="5" t="s">
        <v>32</v>
      </c>
      <c r="D5" s="6">
        <v>16</v>
      </c>
      <c r="E5" s="15">
        <v>16</v>
      </c>
      <c r="F5" s="15">
        <v>16</v>
      </c>
      <c r="G5" s="15">
        <v>16</v>
      </c>
      <c r="H5" s="6">
        <v>16</v>
      </c>
      <c r="I5" s="15">
        <v>16</v>
      </c>
      <c r="J5" s="15">
        <v>16</v>
      </c>
      <c r="K5" s="20">
        <v>16</v>
      </c>
      <c r="L5" s="20">
        <v>16</v>
      </c>
      <c r="M5" s="20">
        <v>16</v>
      </c>
      <c r="N5" s="20">
        <v>16</v>
      </c>
      <c r="O5" s="20">
        <v>16</v>
      </c>
      <c r="P5" s="15">
        <v>16</v>
      </c>
      <c r="Q5" s="6">
        <v>16</v>
      </c>
      <c r="R5" s="20">
        <v>16</v>
      </c>
      <c r="S5" s="20">
        <v>16</v>
      </c>
      <c r="T5" s="6">
        <v>16</v>
      </c>
      <c r="U5" s="15">
        <v>16</v>
      </c>
      <c r="V5" s="20">
        <v>16</v>
      </c>
      <c r="W5" s="15">
        <v>16</v>
      </c>
      <c r="X5" s="20">
        <v>16</v>
      </c>
      <c r="Y5" s="20">
        <v>16</v>
      </c>
      <c r="Z5" s="6">
        <v>16</v>
      </c>
    </row>
    <row r="6" spans="2:26" x14ac:dyDescent="0.2">
      <c r="B6" s="5" t="s">
        <v>3</v>
      </c>
      <c r="D6" s="6">
        <v>8</v>
      </c>
      <c r="E6" s="15">
        <v>8</v>
      </c>
      <c r="F6" s="15">
        <v>8</v>
      </c>
      <c r="G6" s="15">
        <v>8</v>
      </c>
      <c r="H6" s="7">
        <v>8</v>
      </c>
      <c r="I6" s="15">
        <v>8</v>
      </c>
      <c r="J6" s="15">
        <v>8</v>
      </c>
      <c r="K6" s="20">
        <v>8</v>
      </c>
      <c r="L6" s="20">
        <v>8</v>
      </c>
      <c r="M6" s="20">
        <v>8</v>
      </c>
      <c r="N6" s="20">
        <v>8</v>
      </c>
      <c r="O6" s="20">
        <v>8</v>
      </c>
      <c r="P6" s="15">
        <v>8</v>
      </c>
      <c r="Q6" s="7">
        <v>8</v>
      </c>
      <c r="R6" s="20">
        <v>8</v>
      </c>
      <c r="S6" s="20">
        <v>8</v>
      </c>
      <c r="T6" s="6">
        <v>8</v>
      </c>
      <c r="U6" s="15">
        <v>8</v>
      </c>
      <c r="V6" s="20">
        <v>8</v>
      </c>
      <c r="W6" s="15">
        <v>8</v>
      </c>
      <c r="X6" s="20">
        <v>8</v>
      </c>
      <c r="Y6" s="20">
        <v>8</v>
      </c>
      <c r="Z6" s="7">
        <v>8</v>
      </c>
    </row>
    <row r="7" spans="2:26" x14ac:dyDescent="0.2">
      <c r="B7" s="4" t="s">
        <v>4</v>
      </c>
      <c r="D7" s="6">
        <v>272</v>
      </c>
      <c r="E7" s="15">
        <v>272</v>
      </c>
      <c r="F7" s="15">
        <v>272</v>
      </c>
      <c r="G7" s="15">
        <v>272</v>
      </c>
      <c r="H7" s="6">
        <v>272</v>
      </c>
      <c r="I7" s="15">
        <v>272</v>
      </c>
      <c r="J7" s="15">
        <v>272</v>
      </c>
      <c r="K7" s="20">
        <v>272</v>
      </c>
      <c r="L7" s="20">
        <v>272</v>
      </c>
      <c r="M7" s="20">
        <v>272</v>
      </c>
      <c r="N7" s="20">
        <v>272</v>
      </c>
      <c r="O7" s="20">
        <v>272</v>
      </c>
      <c r="P7" s="15">
        <v>272</v>
      </c>
      <c r="Q7" s="6">
        <v>272</v>
      </c>
      <c r="R7" s="20">
        <v>272</v>
      </c>
      <c r="S7" s="20">
        <v>272</v>
      </c>
      <c r="T7" s="6">
        <v>272</v>
      </c>
      <c r="U7" s="15">
        <v>272</v>
      </c>
      <c r="V7" s="20">
        <v>272</v>
      </c>
      <c r="W7" s="15">
        <v>272</v>
      </c>
      <c r="X7" s="20">
        <v>272</v>
      </c>
      <c r="Y7" s="20">
        <v>272</v>
      </c>
      <c r="Z7" s="6">
        <v>272</v>
      </c>
    </row>
    <row r="8" spans="2:26" x14ac:dyDescent="0.2">
      <c r="B8" s="4" t="s">
        <v>33</v>
      </c>
      <c r="D8" s="6">
        <v>12</v>
      </c>
      <c r="E8" s="15">
        <v>12</v>
      </c>
      <c r="F8" s="15">
        <v>12</v>
      </c>
      <c r="G8" s="15">
        <v>12</v>
      </c>
      <c r="H8" s="6">
        <v>12</v>
      </c>
      <c r="I8" s="15">
        <v>12</v>
      </c>
      <c r="J8" s="15">
        <v>12</v>
      </c>
      <c r="K8" s="20">
        <v>12</v>
      </c>
      <c r="L8" s="20">
        <v>12</v>
      </c>
      <c r="M8" s="20">
        <v>12</v>
      </c>
      <c r="N8" s="20">
        <v>12</v>
      </c>
      <c r="O8" s="20">
        <v>12</v>
      </c>
      <c r="P8" s="15">
        <v>12</v>
      </c>
      <c r="Q8" s="6">
        <v>12</v>
      </c>
      <c r="R8" s="20">
        <v>12</v>
      </c>
      <c r="S8" s="20">
        <v>12</v>
      </c>
      <c r="T8" s="6">
        <v>12</v>
      </c>
      <c r="U8" s="15">
        <v>12</v>
      </c>
      <c r="V8" s="20">
        <v>12</v>
      </c>
      <c r="W8" s="15">
        <v>12</v>
      </c>
      <c r="X8" s="20">
        <v>12</v>
      </c>
      <c r="Y8" s="20">
        <v>12</v>
      </c>
      <c r="Z8" s="6">
        <v>12</v>
      </c>
    </row>
    <row r="9" spans="2:26" x14ac:dyDescent="0.2">
      <c r="B9" s="4" t="s">
        <v>34</v>
      </c>
      <c r="D9" s="6">
        <v>2</v>
      </c>
      <c r="E9" s="15">
        <v>2</v>
      </c>
      <c r="F9" s="15">
        <v>2</v>
      </c>
      <c r="G9" s="15">
        <v>2</v>
      </c>
      <c r="H9" s="7">
        <v>2</v>
      </c>
      <c r="I9" s="15">
        <v>2</v>
      </c>
      <c r="J9" s="15">
        <v>2</v>
      </c>
      <c r="K9" s="20">
        <v>2</v>
      </c>
      <c r="L9" s="20">
        <v>2</v>
      </c>
      <c r="M9" s="20">
        <v>2</v>
      </c>
      <c r="N9" s="20">
        <v>2</v>
      </c>
      <c r="O9" s="20">
        <v>2</v>
      </c>
      <c r="P9" s="15">
        <v>2</v>
      </c>
      <c r="Q9" s="7">
        <v>2</v>
      </c>
      <c r="R9" s="20">
        <v>2</v>
      </c>
      <c r="S9" s="20">
        <v>2</v>
      </c>
      <c r="T9" s="6">
        <v>2</v>
      </c>
      <c r="U9" s="15">
        <v>2</v>
      </c>
      <c r="V9" s="20">
        <v>2</v>
      </c>
      <c r="W9" s="15">
        <v>2</v>
      </c>
      <c r="X9" s="20">
        <v>2</v>
      </c>
      <c r="Y9" s="20">
        <v>2</v>
      </c>
      <c r="Z9" s="7">
        <v>2</v>
      </c>
    </row>
    <row r="10" spans="2:26" x14ac:dyDescent="0.2">
      <c r="B10" s="11" t="s">
        <v>7</v>
      </c>
      <c r="D10" s="6">
        <v>2</v>
      </c>
      <c r="E10" s="15">
        <v>2</v>
      </c>
      <c r="F10" s="15">
        <v>2</v>
      </c>
      <c r="G10" s="15">
        <v>2</v>
      </c>
      <c r="H10" s="7">
        <v>2</v>
      </c>
      <c r="I10" s="15">
        <v>2</v>
      </c>
      <c r="J10" s="15">
        <v>2</v>
      </c>
      <c r="K10" s="20">
        <v>2</v>
      </c>
      <c r="L10" s="20">
        <v>2</v>
      </c>
      <c r="M10" s="20">
        <v>2</v>
      </c>
      <c r="N10" s="20">
        <v>2</v>
      </c>
      <c r="O10" s="20">
        <v>2</v>
      </c>
      <c r="P10" s="15">
        <v>2</v>
      </c>
      <c r="Q10" s="7">
        <v>2</v>
      </c>
      <c r="R10" s="20">
        <v>2</v>
      </c>
      <c r="S10" s="20">
        <v>2</v>
      </c>
      <c r="T10" s="6">
        <v>2</v>
      </c>
      <c r="U10" s="15">
        <v>2</v>
      </c>
      <c r="V10" s="20">
        <v>2</v>
      </c>
      <c r="W10" s="15">
        <v>2</v>
      </c>
      <c r="X10" s="20">
        <v>2</v>
      </c>
      <c r="Y10" s="20">
        <v>2</v>
      </c>
      <c r="Z10" s="7">
        <v>2</v>
      </c>
    </row>
    <row r="11" spans="2:26" x14ac:dyDescent="0.2">
      <c r="B11" s="11" t="s">
        <v>8</v>
      </c>
      <c r="D11" s="6">
        <v>0</v>
      </c>
      <c r="E11" s="15">
        <v>0</v>
      </c>
      <c r="F11" s="15">
        <v>0</v>
      </c>
      <c r="G11" s="15">
        <v>0</v>
      </c>
      <c r="H11" s="7">
        <v>0</v>
      </c>
      <c r="I11" s="15">
        <v>0</v>
      </c>
      <c r="J11" s="15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15">
        <v>0</v>
      </c>
      <c r="Q11" s="7">
        <v>0</v>
      </c>
      <c r="R11" s="20">
        <v>0</v>
      </c>
      <c r="S11" s="20">
        <v>0</v>
      </c>
      <c r="T11" s="6">
        <v>0</v>
      </c>
      <c r="U11" s="15">
        <v>0</v>
      </c>
      <c r="V11" s="20">
        <v>0</v>
      </c>
      <c r="W11" s="15">
        <v>0</v>
      </c>
      <c r="X11" s="20">
        <v>0</v>
      </c>
      <c r="Y11" s="20">
        <v>0</v>
      </c>
      <c r="Z11" s="7">
        <v>0</v>
      </c>
    </row>
    <row r="12" spans="2:26" x14ac:dyDescent="0.2">
      <c r="B12" s="4" t="s">
        <v>128</v>
      </c>
      <c r="C12" s="7"/>
      <c r="D12" s="6">
        <v>2</v>
      </c>
      <c r="E12" s="15">
        <v>2</v>
      </c>
      <c r="F12" s="15">
        <v>2</v>
      </c>
      <c r="G12" s="15">
        <v>2</v>
      </c>
      <c r="H12" s="7">
        <v>2</v>
      </c>
      <c r="I12" s="15">
        <v>2</v>
      </c>
      <c r="J12" s="15">
        <v>2</v>
      </c>
      <c r="K12" s="20">
        <v>2</v>
      </c>
      <c r="L12" s="20">
        <v>2</v>
      </c>
      <c r="M12" s="20">
        <v>2</v>
      </c>
      <c r="N12" s="20">
        <v>2</v>
      </c>
      <c r="O12" s="20">
        <v>2</v>
      </c>
      <c r="P12" s="15">
        <v>2</v>
      </c>
      <c r="Q12" s="7">
        <v>2</v>
      </c>
      <c r="R12" s="20">
        <v>2</v>
      </c>
      <c r="S12" s="20">
        <v>2</v>
      </c>
      <c r="T12" s="6">
        <v>2</v>
      </c>
      <c r="U12" s="20">
        <v>2</v>
      </c>
      <c r="V12" s="20">
        <v>2</v>
      </c>
      <c r="W12" s="15">
        <v>2</v>
      </c>
      <c r="X12" s="20">
        <v>2</v>
      </c>
      <c r="Y12" s="20">
        <v>2</v>
      </c>
      <c r="Z12" s="7">
        <v>2</v>
      </c>
    </row>
    <row r="13" spans="2:26" x14ac:dyDescent="0.2">
      <c r="B13" s="4" t="s">
        <v>129</v>
      </c>
      <c r="C13" s="7"/>
      <c r="D13" s="6">
        <v>27</v>
      </c>
      <c r="E13" s="15">
        <v>26</v>
      </c>
      <c r="F13" s="15">
        <v>25</v>
      </c>
      <c r="G13" s="15">
        <v>24</v>
      </c>
      <c r="H13" s="7">
        <v>23</v>
      </c>
      <c r="I13" s="15">
        <v>22</v>
      </c>
      <c r="J13" s="15">
        <v>21</v>
      </c>
      <c r="K13" s="20">
        <v>20</v>
      </c>
      <c r="L13" s="20">
        <v>19</v>
      </c>
      <c r="M13" s="20">
        <v>18</v>
      </c>
      <c r="N13" s="20">
        <v>17</v>
      </c>
      <c r="O13" s="20">
        <v>16</v>
      </c>
      <c r="P13" s="15">
        <v>15</v>
      </c>
      <c r="Q13" s="7">
        <v>14</v>
      </c>
      <c r="R13" s="20">
        <v>13</v>
      </c>
      <c r="S13" s="20">
        <v>12</v>
      </c>
      <c r="T13" s="6">
        <v>11</v>
      </c>
      <c r="U13" s="20">
        <v>10</v>
      </c>
      <c r="V13" s="20">
        <v>9</v>
      </c>
      <c r="W13" s="15">
        <v>8</v>
      </c>
      <c r="X13" s="20">
        <v>7</v>
      </c>
      <c r="Y13" s="20">
        <v>6</v>
      </c>
      <c r="Z13" s="7">
        <v>5</v>
      </c>
    </row>
    <row r="14" spans="2:26" x14ac:dyDescent="0.2">
      <c r="B14" s="4" t="s">
        <v>11</v>
      </c>
      <c r="D14" s="6">
        <v>1</v>
      </c>
      <c r="E14" s="15">
        <v>1</v>
      </c>
      <c r="F14" s="15">
        <v>1</v>
      </c>
      <c r="G14" s="15">
        <v>1</v>
      </c>
      <c r="H14" s="7">
        <v>1</v>
      </c>
      <c r="I14" s="15">
        <v>1</v>
      </c>
      <c r="J14" s="15">
        <v>1</v>
      </c>
      <c r="K14" s="20">
        <v>1</v>
      </c>
      <c r="L14" s="20">
        <v>1</v>
      </c>
      <c r="M14" s="20">
        <v>1</v>
      </c>
      <c r="N14" s="20">
        <v>1</v>
      </c>
      <c r="O14" s="20">
        <v>1</v>
      </c>
      <c r="P14" s="15">
        <v>1</v>
      </c>
      <c r="Q14" s="7">
        <v>1</v>
      </c>
      <c r="R14" s="20">
        <v>1</v>
      </c>
      <c r="S14" s="20">
        <v>1</v>
      </c>
      <c r="T14" s="6">
        <v>1</v>
      </c>
      <c r="U14" s="15">
        <v>1</v>
      </c>
      <c r="V14" s="20">
        <v>1</v>
      </c>
      <c r="W14" s="15">
        <v>1</v>
      </c>
      <c r="X14" s="20">
        <v>1</v>
      </c>
      <c r="Y14" s="20">
        <v>1</v>
      </c>
      <c r="Z14" s="7">
        <v>1</v>
      </c>
    </row>
    <row r="15" spans="2:26" x14ac:dyDescent="0.2">
      <c r="B15" s="4" t="s">
        <v>12</v>
      </c>
      <c r="D15" s="6">
        <v>2</v>
      </c>
      <c r="E15" s="15">
        <v>2</v>
      </c>
      <c r="F15" s="15">
        <v>2</v>
      </c>
      <c r="G15" s="15">
        <v>2</v>
      </c>
      <c r="H15" s="7">
        <v>2</v>
      </c>
      <c r="I15" s="15">
        <v>2</v>
      </c>
      <c r="J15" s="15">
        <v>2</v>
      </c>
      <c r="K15" s="20">
        <v>2</v>
      </c>
      <c r="L15" s="20">
        <v>2</v>
      </c>
      <c r="M15" s="20">
        <v>2</v>
      </c>
      <c r="N15" s="20">
        <v>2</v>
      </c>
      <c r="O15" s="20">
        <v>2</v>
      </c>
      <c r="P15" s="15">
        <v>2</v>
      </c>
      <c r="Q15" s="7">
        <v>2</v>
      </c>
      <c r="R15" s="20">
        <v>2</v>
      </c>
      <c r="S15" s="20">
        <v>2</v>
      </c>
      <c r="T15" s="6">
        <v>2</v>
      </c>
      <c r="U15" s="15">
        <v>2</v>
      </c>
      <c r="V15" s="20">
        <v>2</v>
      </c>
      <c r="W15" s="15">
        <v>2</v>
      </c>
      <c r="X15" s="20">
        <v>2</v>
      </c>
      <c r="Y15" s="20">
        <v>2</v>
      </c>
      <c r="Z15" s="7">
        <v>2</v>
      </c>
    </row>
    <row r="16" spans="2:26" x14ac:dyDescent="0.2">
      <c r="B16" s="4" t="s">
        <v>13</v>
      </c>
      <c r="D16" s="6">
        <v>4</v>
      </c>
      <c r="E16" s="15">
        <v>4</v>
      </c>
      <c r="F16" s="15">
        <v>4</v>
      </c>
      <c r="G16" s="15">
        <v>4</v>
      </c>
      <c r="H16" s="7">
        <v>4</v>
      </c>
      <c r="I16" s="15">
        <v>4</v>
      </c>
      <c r="J16" s="15">
        <v>4</v>
      </c>
      <c r="K16" s="20">
        <v>4</v>
      </c>
      <c r="L16" s="20">
        <v>4</v>
      </c>
      <c r="M16" s="20">
        <v>4</v>
      </c>
      <c r="N16" s="20">
        <v>4</v>
      </c>
      <c r="O16" s="20">
        <v>4</v>
      </c>
      <c r="P16" s="15">
        <v>4</v>
      </c>
      <c r="Q16" s="7">
        <v>4</v>
      </c>
      <c r="R16" s="20">
        <v>4</v>
      </c>
      <c r="S16" s="20">
        <v>4</v>
      </c>
      <c r="T16" s="6">
        <v>4</v>
      </c>
      <c r="U16" s="15">
        <v>4</v>
      </c>
      <c r="V16" s="20">
        <v>4</v>
      </c>
      <c r="W16" s="15">
        <v>4</v>
      </c>
      <c r="X16" s="20">
        <v>4</v>
      </c>
      <c r="Y16" s="20">
        <v>4</v>
      </c>
      <c r="Z16" s="7">
        <v>4</v>
      </c>
    </row>
    <row r="17" spans="2:26" x14ac:dyDescent="0.2">
      <c r="B17" s="4" t="s">
        <v>14</v>
      </c>
      <c r="D17" s="6" t="s">
        <v>31</v>
      </c>
      <c r="E17" s="15" t="s">
        <v>31</v>
      </c>
      <c r="F17" s="15" t="s">
        <v>31</v>
      </c>
      <c r="G17" s="15" t="s">
        <v>31</v>
      </c>
      <c r="H17" s="6" t="s">
        <v>31</v>
      </c>
      <c r="I17" s="15" t="s">
        <v>31</v>
      </c>
      <c r="J17" s="15" t="s">
        <v>31</v>
      </c>
      <c r="K17" s="20" t="s">
        <v>31</v>
      </c>
      <c r="L17" s="20" t="s">
        <v>31</v>
      </c>
      <c r="M17" s="20" t="s">
        <v>31</v>
      </c>
      <c r="N17" s="20" t="s">
        <v>31</v>
      </c>
      <c r="O17" s="20" t="s">
        <v>31</v>
      </c>
      <c r="P17" s="15" t="s">
        <v>31</v>
      </c>
      <c r="Q17" s="6" t="s">
        <v>31</v>
      </c>
      <c r="R17" s="20" t="s">
        <v>31</v>
      </c>
      <c r="S17" s="20" t="s">
        <v>31</v>
      </c>
      <c r="T17" s="6" t="s">
        <v>31</v>
      </c>
      <c r="U17" s="15" t="s">
        <v>31</v>
      </c>
      <c r="V17" s="20" t="s">
        <v>31</v>
      </c>
      <c r="W17" s="15" t="s">
        <v>31</v>
      </c>
      <c r="X17" s="20" t="s">
        <v>31</v>
      </c>
      <c r="Y17" s="20" t="s">
        <v>31</v>
      </c>
      <c r="Z17" s="6" t="s">
        <v>31</v>
      </c>
    </row>
    <row r="18" spans="2:26" x14ac:dyDescent="0.2">
      <c r="B18" s="11" t="s">
        <v>16</v>
      </c>
      <c r="D18" s="6" t="s">
        <v>17</v>
      </c>
      <c r="E18" s="15" t="s">
        <v>17</v>
      </c>
      <c r="F18" s="15" t="s">
        <v>17</v>
      </c>
      <c r="G18" s="15" t="s">
        <v>17</v>
      </c>
      <c r="H18" s="6" t="s">
        <v>17</v>
      </c>
      <c r="I18" s="15" t="s">
        <v>17</v>
      </c>
      <c r="J18" s="15" t="s">
        <v>17</v>
      </c>
      <c r="K18" s="20" t="s">
        <v>17</v>
      </c>
      <c r="L18" s="20" t="s">
        <v>17</v>
      </c>
      <c r="M18" s="20" t="s">
        <v>17</v>
      </c>
      <c r="N18" s="20" t="s">
        <v>17</v>
      </c>
      <c r="O18" s="20" t="s">
        <v>17</v>
      </c>
      <c r="P18" s="15" t="s">
        <v>17</v>
      </c>
      <c r="Q18" s="6" t="s">
        <v>17</v>
      </c>
      <c r="R18" s="20" t="s">
        <v>17</v>
      </c>
      <c r="S18" s="20" t="s">
        <v>17</v>
      </c>
      <c r="T18" s="6" t="s">
        <v>17</v>
      </c>
      <c r="U18" s="15" t="s">
        <v>17</v>
      </c>
      <c r="V18" s="20" t="s">
        <v>17</v>
      </c>
      <c r="W18" s="15" t="s">
        <v>17</v>
      </c>
      <c r="X18" s="20" t="s">
        <v>17</v>
      </c>
      <c r="Y18" s="20" t="s">
        <v>17</v>
      </c>
      <c r="Z18" s="6" t="s">
        <v>17</v>
      </c>
    </row>
    <row r="19" spans="2:26" x14ac:dyDescent="0.2">
      <c r="B19" s="4" t="s">
        <v>18</v>
      </c>
      <c r="D19" s="6" t="s">
        <v>17</v>
      </c>
      <c r="E19" s="15" t="s">
        <v>17</v>
      </c>
      <c r="F19" s="15" t="s">
        <v>17</v>
      </c>
      <c r="G19" s="15" t="s">
        <v>17</v>
      </c>
      <c r="H19" s="6" t="s">
        <v>17</v>
      </c>
      <c r="I19" s="15" t="s">
        <v>17</v>
      </c>
      <c r="J19" s="15" t="s">
        <v>17</v>
      </c>
      <c r="K19" s="20" t="s">
        <v>17</v>
      </c>
      <c r="L19" s="20" t="s">
        <v>17</v>
      </c>
      <c r="M19" s="20" t="s">
        <v>17</v>
      </c>
      <c r="N19" s="20" t="s">
        <v>17</v>
      </c>
      <c r="O19" s="20" t="s">
        <v>17</v>
      </c>
      <c r="P19" s="15" t="s">
        <v>17</v>
      </c>
      <c r="Q19" s="6" t="s">
        <v>17</v>
      </c>
      <c r="R19" s="20" t="s">
        <v>17</v>
      </c>
      <c r="S19" s="20" t="s">
        <v>17</v>
      </c>
      <c r="T19" s="6" t="s">
        <v>17</v>
      </c>
      <c r="U19" s="15" t="s">
        <v>17</v>
      </c>
      <c r="V19" s="20" t="s">
        <v>17</v>
      </c>
      <c r="W19" s="15" t="s">
        <v>17</v>
      </c>
      <c r="X19" s="20" t="s">
        <v>17</v>
      </c>
      <c r="Y19" s="20" t="s">
        <v>17</v>
      </c>
      <c r="Z19" s="6" t="s">
        <v>17</v>
      </c>
    </row>
    <row r="20" spans="2:26" x14ac:dyDescent="0.2">
      <c r="B20" s="4" t="s">
        <v>19</v>
      </c>
      <c r="D20" s="6">
        <v>1</v>
      </c>
      <c r="E20" s="15">
        <v>1</v>
      </c>
      <c r="F20" s="15">
        <v>1</v>
      </c>
      <c r="G20" s="15">
        <v>1</v>
      </c>
      <c r="H20" s="7">
        <v>1</v>
      </c>
      <c r="I20" s="15">
        <v>1</v>
      </c>
      <c r="J20" s="15">
        <v>1</v>
      </c>
      <c r="K20" s="20">
        <v>1</v>
      </c>
      <c r="L20" s="20">
        <v>1</v>
      </c>
      <c r="M20" s="20">
        <v>1</v>
      </c>
      <c r="N20" s="20">
        <v>1</v>
      </c>
      <c r="O20" s="20">
        <v>1</v>
      </c>
      <c r="P20" s="15">
        <v>1</v>
      </c>
      <c r="Q20" s="7">
        <v>1</v>
      </c>
      <c r="R20" s="20">
        <v>1</v>
      </c>
      <c r="S20" s="20">
        <v>1</v>
      </c>
      <c r="T20" s="6">
        <v>1</v>
      </c>
      <c r="U20" s="15">
        <v>1</v>
      </c>
      <c r="V20" s="20">
        <v>1</v>
      </c>
      <c r="W20" s="15">
        <v>1</v>
      </c>
      <c r="X20" s="20">
        <v>1</v>
      </c>
      <c r="Y20" s="20">
        <v>1</v>
      </c>
      <c r="Z20" s="7">
        <v>1</v>
      </c>
    </row>
    <row r="21" spans="2:26" x14ac:dyDescent="0.2">
      <c r="B21" s="2" t="s">
        <v>20</v>
      </c>
      <c r="D21" s="9"/>
      <c r="E21" s="9"/>
      <c r="F21" s="9"/>
      <c r="G21" s="9"/>
      <c r="H21" s="9"/>
      <c r="I21" s="9"/>
      <c r="J21" s="9"/>
      <c r="K21" s="19"/>
      <c r="L21" s="19"/>
      <c r="M21" s="19"/>
      <c r="N21" s="19"/>
      <c r="O21" s="19"/>
      <c r="P21" s="9"/>
      <c r="Q21" s="9"/>
      <c r="R21" s="19"/>
      <c r="S21" s="19"/>
      <c r="T21" s="9"/>
      <c r="U21" s="9"/>
      <c r="V21" s="19"/>
      <c r="W21" s="9"/>
      <c r="X21" s="19"/>
      <c r="Y21" s="19"/>
      <c r="Z21" s="9"/>
    </row>
    <row r="22" spans="2:26" x14ac:dyDescent="0.2">
      <c r="B22" s="8" t="s">
        <v>21</v>
      </c>
      <c r="D22" s="6" t="s">
        <v>22</v>
      </c>
      <c r="E22" s="15" t="s">
        <v>22</v>
      </c>
      <c r="F22" s="15" t="s">
        <v>22</v>
      </c>
      <c r="G22" s="15" t="s">
        <v>22</v>
      </c>
      <c r="H22" s="6" t="s">
        <v>22</v>
      </c>
      <c r="I22" s="15" t="s">
        <v>22</v>
      </c>
      <c r="J22" s="15" t="s">
        <v>22</v>
      </c>
      <c r="K22" s="20" t="s">
        <v>22</v>
      </c>
      <c r="L22" s="20" t="s">
        <v>22</v>
      </c>
      <c r="M22" s="20" t="s">
        <v>22</v>
      </c>
      <c r="N22" s="20" t="s">
        <v>22</v>
      </c>
      <c r="O22" s="20" t="s">
        <v>22</v>
      </c>
      <c r="P22" s="15" t="s">
        <v>22</v>
      </c>
      <c r="Q22" s="6" t="s">
        <v>22</v>
      </c>
      <c r="R22" s="20" t="s">
        <v>22</v>
      </c>
      <c r="S22" s="20" t="s">
        <v>22</v>
      </c>
      <c r="T22" s="6" t="s">
        <v>22</v>
      </c>
      <c r="U22" s="15" t="s">
        <v>22</v>
      </c>
      <c r="V22" s="20" t="s">
        <v>22</v>
      </c>
      <c r="W22" s="15" t="s">
        <v>22</v>
      </c>
      <c r="X22" s="20" t="s">
        <v>22</v>
      </c>
      <c r="Y22" s="20" t="s">
        <v>22</v>
      </c>
      <c r="Z22" s="6" t="s">
        <v>22</v>
      </c>
    </row>
    <row r="23" spans="2:26" x14ac:dyDescent="0.2">
      <c r="B23" s="8" t="s">
        <v>23</v>
      </c>
      <c r="D23" s="6">
        <v>0</v>
      </c>
      <c r="E23" s="15">
        <v>0</v>
      </c>
      <c r="F23" s="15">
        <v>0</v>
      </c>
      <c r="G23" s="15">
        <v>0</v>
      </c>
      <c r="H23" s="6">
        <v>0</v>
      </c>
      <c r="I23" s="15">
        <v>0</v>
      </c>
      <c r="J23" s="15">
        <v>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15">
        <v>0</v>
      </c>
      <c r="Q23" s="6">
        <v>0</v>
      </c>
      <c r="R23" s="20">
        <v>0</v>
      </c>
      <c r="S23" s="20">
        <v>0</v>
      </c>
      <c r="T23" s="6">
        <v>0</v>
      </c>
      <c r="U23" s="15">
        <v>0</v>
      </c>
      <c r="V23" s="20">
        <v>0</v>
      </c>
      <c r="W23" s="15">
        <v>0</v>
      </c>
      <c r="X23" s="20">
        <v>0</v>
      </c>
      <c r="Y23" s="20">
        <v>0</v>
      </c>
      <c r="Z23" s="6">
        <v>0</v>
      </c>
    </row>
    <row r="24" spans="2:26" x14ac:dyDescent="0.2">
      <c r="B24" s="8" t="s">
        <v>24</v>
      </c>
      <c r="D24" s="6" t="s">
        <v>25</v>
      </c>
      <c r="E24" s="15" t="s">
        <v>25</v>
      </c>
      <c r="F24" s="15" t="s">
        <v>25</v>
      </c>
      <c r="G24" s="15" t="s">
        <v>25</v>
      </c>
      <c r="H24" s="6" t="s">
        <v>25</v>
      </c>
      <c r="I24" s="15" t="s">
        <v>25</v>
      </c>
      <c r="J24" s="15" t="s">
        <v>25</v>
      </c>
      <c r="K24" s="20" t="s">
        <v>25</v>
      </c>
      <c r="L24" s="20" t="s">
        <v>25</v>
      </c>
      <c r="M24" s="20" t="s">
        <v>25</v>
      </c>
      <c r="N24" s="20" t="s">
        <v>25</v>
      </c>
      <c r="O24" s="20" t="s">
        <v>25</v>
      </c>
      <c r="P24" s="15" t="s">
        <v>25</v>
      </c>
      <c r="Q24" s="6" t="s">
        <v>25</v>
      </c>
      <c r="R24" s="20" t="s">
        <v>25</v>
      </c>
      <c r="S24" s="20" t="s">
        <v>25</v>
      </c>
      <c r="T24" s="6" t="s">
        <v>25</v>
      </c>
      <c r="U24" s="15" t="s">
        <v>25</v>
      </c>
      <c r="V24" s="20" t="s">
        <v>25</v>
      </c>
      <c r="W24" s="15" t="s">
        <v>25</v>
      </c>
      <c r="X24" s="20" t="s">
        <v>25</v>
      </c>
      <c r="Y24" s="20" t="s">
        <v>25</v>
      </c>
      <c r="Z24" s="6" t="s">
        <v>25</v>
      </c>
    </row>
    <row r="25" spans="2:26" x14ac:dyDescent="0.2">
      <c r="B25" s="2" t="s">
        <v>26</v>
      </c>
      <c r="D25" s="9"/>
      <c r="E25" s="9"/>
      <c r="F25" s="9"/>
      <c r="G25" s="9"/>
      <c r="H25" s="9"/>
      <c r="I25" s="9"/>
      <c r="J25" s="9"/>
      <c r="K25" s="19"/>
      <c r="L25" s="19"/>
      <c r="M25" s="19"/>
      <c r="N25" s="19"/>
      <c r="O25" s="19"/>
      <c r="P25" s="9"/>
      <c r="Q25" s="9"/>
      <c r="R25" s="19"/>
      <c r="S25" s="19"/>
      <c r="T25" s="9"/>
      <c r="U25" s="9"/>
      <c r="V25" s="19"/>
      <c r="W25" s="9"/>
      <c r="X25" s="19"/>
      <c r="Y25" s="19"/>
      <c r="Z25" s="9"/>
    </row>
    <row r="26" spans="2:26" x14ac:dyDescent="0.2">
      <c r="B26" s="22" t="s">
        <v>9</v>
      </c>
      <c r="D26" cm="1">
        <f t="array" ref="D26">Comm_MCS_ModOrd(D12,D13)</f>
        <v>8</v>
      </c>
      <c r="E26" s="23" cm="1">
        <f t="array" ref="E26">Comm_MCS_ModOrd(E12,E13)</f>
        <v>8</v>
      </c>
      <c r="F26" s="23" cm="1">
        <f t="array" ref="F26">Comm_MCS_ModOrd(F12,F13)</f>
        <v>8</v>
      </c>
      <c r="G26" s="23" cm="1">
        <f t="array" ref="G26">Comm_MCS_ModOrd(G12,G13)</f>
        <v>8</v>
      </c>
      <c r="H26" cm="1">
        <f t="array" ref="H26">Comm_MCS_ModOrd(H12,H13)</f>
        <v>8</v>
      </c>
      <c r="I26" s="23" cm="1">
        <f t="array" ref="I26">Comm_MCS_ModOrd(I12,I13)</f>
        <v>8</v>
      </c>
      <c r="J26" s="23" cm="1">
        <f t="array" ref="J26">Comm_MCS_ModOrd(J12,J13)</f>
        <v>8</v>
      </c>
      <c r="K26" s="23" cm="1">
        <f t="array" ref="K26">Comm_MCS_ModOrd(K12,K13)</f>
        <v>8</v>
      </c>
      <c r="L26" s="23" cm="1">
        <f t="array" ref="L26">Comm_MCS_ModOrd(L12,L13)</f>
        <v>6</v>
      </c>
      <c r="M26" s="23" cm="1">
        <f t="array" ref="M26">Comm_MCS_ModOrd(M12,M13)</f>
        <v>6</v>
      </c>
      <c r="N26" s="23" cm="1">
        <f t="array" ref="N26">Comm_MCS_ModOrd(N12,N13)</f>
        <v>6</v>
      </c>
      <c r="O26" s="23" cm="1">
        <f t="array" ref="O26">Comm_MCS_ModOrd(O12,O13)</f>
        <v>6</v>
      </c>
      <c r="P26" s="23" cm="1">
        <f t="array" ref="P26">Comm_MCS_ModOrd(P12,P13)</f>
        <v>6</v>
      </c>
      <c r="Q26" cm="1">
        <f t="array" ref="Q26">Comm_MCS_ModOrd(Q12,Q13)</f>
        <v>6</v>
      </c>
      <c r="R26" s="23" cm="1">
        <f t="array" ref="R26">Comm_MCS_ModOrd(R12,R13)</f>
        <v>6</v>
      </c>
      <c r="S26" s="23" cm="1">
        <f t="array" ref="S26">Comm_MCS_ModOrd(S12,S13)</f>
        <v>6</v>
      </c>
      <c r="T26" cm="1">
        <f t="array" ref="T26">Comm_MCS_ModOrd(T12,T13)</f>
        <v>6</v>
      </c>
      <c r="U26" s="23" cm="1">
        <f t="array" ref="U26">Comm_MCS_ModOrd(U12,U13)</f>
        <v>4</v>
      </c>
      <c r="V26" s="23" cm="1">
        <f t="array" ref="V26">Comm_MCS_ModOrd(V12,V13)</f>
        <v>4</v>
      </c>
      <c r="W26" s="23" cm="1">
        <f t="array" ref="W26">Comm_MCS_ModOrd(W12,W13)</f>
        <v>4</v>
      </c>
      <c r="X26" s="23" cm="1">
        <f t="array" ref="X26">Comm_MCS_ModOrd(X12,X13)</f>
        <v>4</v>
      </c>
      <c r="Y26" s="23" cm="1">
        <f t="array" ref="Y26">Comm_MCS_ModOrd(Y12,Y13)</f>
        <v>4</v>
      </c>
      <c r="Z26" cm="1">
        <f t="array" ref="Z26">Comm_MCS_ModOrd(Z12,Z13)</f>
        <v>4</v>
      </c>
    </row>
    <row r="27" spans="2:26" x14ac:dyDescent="0.2">
      <c r="B27" s="22" t="s">
        <v>10</v>
      </c>
      <c r="D27" cm="1">
        <f t="array" ref="D27">Comm_MCS_CodeRate(D12,D13)</f>
        <v>948</v>
      </c>
      <c r="E27" s="23" cm="1">
        <f t="array" ref="E27">Comm_MCS_CodeRate(E12,E13)</f>
        <v>916.5</v>
      </c>
      <c r="F27" s="23" cm="1">
        <f t="array" ref="F27">Comm_MCS_CodeRate(F12,F13)</f>
        <v>885</v>
      </c>
      <c r="G27" s="23" cm="1">
        <f t="array" ref="G27">Comm_MCS_CodeRate(G12,G13)</f>
        <v>841</v>
      </c>
      <c r="H27" cm="1">
        <f t="array" ref="H27">Comm_MCS_CodeRate(H12,H13)</f>
        <v>797</v>
      </c>
      <c r="I27" s="23" cm="1">
        <f t="array" ref="I27">Comm_MCS_CodeRate(I12,I13)</f>
        <v>754</v>
      </c>
      <c r="J27" s="23" cm="1">
        <f t="array" ref="J27">Comm_MCS_CodeRate(J12,J13)</f>
        <v>711</v>
      </c>
      <c r="K27" s="23" cm="1">
        <f t="array" ref="K27">Comm_MCS_CodeRate(K12,K13)</f>
        <v>682.5</v>
      </c>
      <c r="L27" s="23" cm="1">
        <f t="array" ref="L27">Comm_MCS_CodeRate(L12,L13)</f>
        <v>873</v>
      </c>
      <c r="M27" s="23" cm="1">
        <f t="array" ref="M27">Comm_MCS_CodeRate(M12,M13)</f>
        <v>822</v>
      </c>
      <c r="N27" s="23" cm="1">
        <f t="array" ref="N27">Comm_MCS_CodeRate(N12,N13)</f>
        <v>772</v>
      </c>
      <c r="O27" s="23" cm="1">
        <f t="array" ref="O27">Comm_MCS_CodeRate(O12,O13)</f>
        <v>719</v>
      </c>
      <c r="P27" s="23" cm="1">
        <f t="array" ref="P27">Comm_MCS_CodeRate(P12,P13)</f>
        <v>666</v>
      </c>
      <c r="Q27" cm="1">
        <f t="array" ref="Q27">Comm_MCS_CodeRate(Q12,Q13)</f>
        <v>616</v>
      </c>
      <c r="R27" s="23" cm="1">
        <f t="array" ref="R27">Comm_MCS_CodeRate(R12,R13)</f>
        <v>567</v>
      </c>
      <c r="S27" s="23" cm="1">
        <f t="array" ref="S27">Comm_MCS_CodeRate(S12,S13)</f>
        <v>517</v>
      </c>
      <c r="T27" cm="1">
        <f t="array" ref="T27">Comm_MCS_CodeRate(T12,T13)</f>
        <v>466</v>
      </c>
      <c r="U27" s="23" cm="1">
        <f t="array" ref="U27">Comm_MCS_CodeRate(U12,U13)</f>
        <v>658</v>
      </c>
      <c r="V27" s="23" cm="1">
        <f t="array" ref="V27">Comm_MCS_CodeRate(V12,V13)</f>
        <v>616</v>
      </c>
      <c r="W27" s="23" cm="1">
        <f t="array" ref="W27">Comm_MCS_CodeRate(W12,W13)</f>
        <v>553</v>
      </c>
      <c r="X27" s="23" cm="1">
        <f t="array" ref="X27">Comm_MCS_CodeRate(X12,X13)</f>
        <v>490</v>
      </c>
      <c r="Y27" s="23" cm="1">
        <f t="array" ref="Y27">Comm_MCS_CodeRate(Y12,Y13)</f>
        <v>434</v>
      </c>
      <c r="Z27" cm="1">
        <f t="array" ref="Z27">Comm_MCS_CodeRate(Z12,Z13)</f>
        <v>378</v>
      </c>
    </row>
    <row r="28" spans="2:26" x14ac:dyDescent="0.2">
      <c r="B28" s="1" t="s">
        <v>27</v>
      </c>
      <c r="D28" s="10" cm="1">
        <f t="array" ref="D28">Comm_Z(D7, D26, D27, D8, D9, D6/D15)</f>
        <v>384</v>
      </c>
      <c r="E28" s="24" cm="1">
        <f t="array" ref="E28">Comm_Z(E7, E26, E27, E8, E9, E6/E15)</f>
        <v>384</v>
      </c>
      <c r="F28" s="24" cm="1">
        <f t="array" ref="F28">Comm_Z(F7, F26, F27, F8, F9, F6/F15)</f>
        <v>384</v>
      </c>
      <c r="G28" s="24" cm="1">
        <f t="array" ref="G28">Comm_Z(G7, G26, G27, G8, G9, G6/G15)</f>
        <v>384</v>
      </c>
      <c r="H28" s="10" cm="1">
        <f t="array" ref="H28">Comm_Z(H7, H26, H27, H8, H9, H6/H15)</f>
        <v>384</v>
      </c>
      <c r="I28" s="16" cm="1">
        <f t="array" ref="I28">Comm_Z(I7, I26, I27, I8, I9, I6/I15)</f>
        <v>384</v>
      </c>
      <c r="J28" s="16" cm="1">
        <f t="array" ref="J28">Comm_Z(J7, J26, J27, J8, J9, J6/J15)</f>
        <v>384</v>
      </c>
      <c r="K28" s="20" cm="1">
        <f t="array" ref="K28">Comm_Z(K7, K26, K27, K8, K9, K6/K15)</f>
        <v>384</v>
      </c>
      <c r="L28" s="20" cm="1">
        <f t="array" ref="L28">Comm_Z(L7, L26, L27, L8, L9, L6/L15)</f>
        <v>384</v>
      </c>
      <c r="M28" s="20" cm="1">
        <f t="array" ref="M28">Comm_Z(M7, M26, M27, M8, M9, M6/M15)</f>
        <v>384</v>
      </c>
      <c r="N28" s="20" cm="1">
        <f t="array" ref="N28">Comm_Z(N7, N26, N27, N8, N9, N6/N15)</f>
        <v>384</v>
      </c>
      <c r="O28" s="20" cm="1">
        <f t="array" ref="O28">Comm_Z(O7, O26, O27, O8, O9, O6/O15)</f>
        <v>384</v>
      </c>
      <c r="P28" s="16" cm="1">
        <f t="array" ref="P28">Comm_Z(P7, P26, P27, P8, P9, P6/P15)</f>
        <v>384</v>
      </c>
      <c r="Q28" s="10" cm="1">
        <f t="array" ref="Q28">Comm_Z(Q7, Q26, Q27, Q8, Q9, Q6/Q15)</f>
        <v>384</v>
      </c>
      <c r="R28" s="20" cm="1">
        <f t="array" ref="R28">Comm_Z(R7, R26, R27, R8, R9, R6/R15)</f>
        <v>384</v>
      </c>
      <c r="S28" s="20" cm="1">
        <f t="array" ref="S28">Comm_Z(S7, S26, S27, S8, S9, S6/S15)</f>
        <v>384</v>
      </c>
      <c r="T28" s="10" cm="1">
        <f t="array" ref="T28">Comm_Z(T7, T26, T27, T8, T9, T6/T15)</f>
        <v>384</v>
      </c>
      <c r="U28" s="24" cm="1">
        <f t="array" ref="U28">Comm_Z(U7, U26, U27, U8, U9, U6/U15)</f>
        <v>384</v>
      </c>
      <c r="V28" s="20" cm="1">
        <f t="array" ref="V28">Comm_Z(V7, V26, V27, V8, V9, V6/V15)</f>
        <v>384</v>
      </c>
      <c r="W28" s="24" cm="1">
        <f t="array" ref="W28">Comm_Z(W7, W26, W27, W8, W9, W6/W15)</f>
        <v>384</v>
      </c>
      <c r="X28" s="20" cm="1">
        <f t="array" ref="X28">Comm_Z(X7, X26, X27, X8, X9, X6/X15)</f>
        <v>384</v>
      </c>
      <c r="Y28" s="20" cm="1">
        <f t="array" ref="Y28">Comm_Z(Y7, Y26, Y27, Y8, Y9, Y6/Y15)</f>
        <v>384</v>
      </c>
      <c r="Z28" s="10" cm="1">
        <f t="array" ref="Z28">Comm_Z(Z7, Z26, Z27, Z8, Z9, Z6/Z15)</f>
        <v>384</v>
      </c>
    </row>
    <row r="29" spans="2:26" x14ac:dyDescent="0.2">
      <c r="B29" s="1" t="s">
        <v>28</v>
      </c>
      <c r="D29" s="10" cm="1">
        <f t="array" ref="D29">Comm_TBS(D7, D26, D27, D8, D9, D6/D15)</f>
        <v>966896</v>
      </c>
      <c r="E29" s="16" cm="1">
        <f t="array" ref="E29">Comm_TBS(E7, E26, E27, E8, E9, E6/E15)</f>
        <v>934152</v>
      </c>
      <c r="F29" s="16" cm="1">
        <f t="array" ref="F29">Comm_TBS(F7, F26, F27, F8, F9, F6/F15)</f>
        <v>901344</v>
      </c>
      <c r="G29" s="16" cm="1">
        <f t="array" ref="G29">Comm_TBS(G7, G26, G27, G8, G9, G6/G15)</f>
        <v>852696</v>
      </c>
      <c r="H29" s="10" cm="1">
        <f t="array" ref="H29">Comm_TBS(H7, H26, H27, H8, H9, H6/H15)</f>
        <v>819256</v>
      </c>
      <c r="I29" s="16" cm="1">
        <f t="array" ref="I29">Comm_TBS(I7, I26, I27, I8, I9, I6/I15)</f>
        <v>770568</v>
      </c>
      <c r="J29" s="16" cm="1">
        <f t="array" ref="J29">Comm_TBS(J7, J26, J27, J8, J9, J6/J15)</f>
        <v>721000</v>
      </c>
      <c r="K29" s="16" cm="1">
        <f t="array" ref="K29">Comm_TBS(K7, K26, K27, K8, K9, K6/K15)</f>
        <v>688776</v>
      </c>
      <c r="L29" s="16" cm="1">
        <f t="array" ref="L29">Comm_TBS(L7, L26, L27, L8, L9, L6/L15)</f>
        <v>671976</v>
      </c>
      <c r="M29" s="16" cm="1">
        <f t="array" ref="M29">Comm_TBS(M7, M26, M27, M8, M9, M6/M15)</f>
        <v>622760</v>
      </c>
      <c r="N29" s="16" cm="1">
        <f t="array" ref="N29">Comm_TBS(N7, N26, N27, N8, N9, N6/N15)</f>
        <v>590128</v>
      </c>
      <c r="O29" s="16" cm="1">
        <f t="array" ref="O29">Comm_TBS(O7, O26, O27, O8, O9, O6/O15)</f>
        <v>557416</v>
      </c>
      <c r="P29" s="16" cm="1">
        <f t="array" ref="P29">Comm_TBS(P7, P26, P27, P8, P9, P6/P15)</f>
        <v>507984</v>
      </c>
      <c r="Q29" s="10" cm="1">
        <f t="array" ref="Q29">Comm_TBS(Q7, Q26, Q27, Q8, Q9, Q6/Q15)</f>
        <v>475584</v>
      </c>
      <c r="R29" s="16" cm="1">
        <f t="array" ref="R29">Comm_TBS(R7, R26, R27, R8, R9, R6/R15)</f>
        <v>434280</v>
      </c>
      <c r="S29" s="16" cm="1">
        <f t="array" ref="S29">Comm_TBS(S7, S26, S27, S8, S9, S6/S15)</f>
        <v>393272</v>
      </c>
      <c r="T29" s="10" cm="1">
        <f t="array" ref="T29">Comm_TBS(T7, T26, T27, T8, T9, T6/T15)</f>
        <v>360488</v>
      </c>
      <c r="U29" s="24" cm="1">
        <f t="array" ref="U29">Comm_TBS(U7, U26, U27, U8, U9, U6/U15)</f>
        <v>335976</v>
      </c>
      <c r="V29" s="24" cm="1">
        <f t="array" ref="V29">Comm_TBS(V7, V26, V27, V8, V9, V6/V15)</f>
        <v>311368</v>
      </c>
      <c r="W29" s="24" cm="1">
        <f t="array" ref="W29">Comm_TBS(W7, W26, W27, W8, W9, W6/W15)</f>
        <v>278776</v>
      </c>
      <c r="X29" s="24" cm="1">
        <f t="array" ref="X29">Comm_TBS(X7, X26, X27, X8, X9, X6/X15)</f>
        <v>250056</v>
      </c>
      <c r="Y29" s="24" cm="1">
        <f t="array" ref="Y29">Comm_TBS(Y7, Y26, Y27, Y8, Y9, Y6/Y15)</f>
        <v>221376</v>
      </c>
      <c r="Z29" s="10" cm="1">
        <f t="array" ref="Z29">Comm_TBS(Z7, Z26, Z27, Z8, Z9, Z6/Z15)</f>
        <v>192624</v>
      </c>
    </row>
    <row r="30" spans="2:26" x14ac:dyDescent="0.2">
      <c r="B30" s="1" t="s">
        <v>29</v>
      </c>
      <c r="D30" s="10" cm="1">
        <f t="array" ref="D30">Comm_CB(D7, D26, D27, D8, D9, D6/D15)</f>
        <v>115</v>
      </c>
      <c r="E30" s="16" cm="1">
        <f t="array" ref="E30">Comm_CB(E7, E26, E27, E8, E9, E6/E15)</f>
        <v>111</v>
      </c>
      <c r="F30" s="16" cm="1">
        <f t="array" ref="F30">Comm_CB(F7, F26, F27, F8, F9, F6/F15)</f>
        <v>107</v>
      </c>
      <c r="G30" s="16" cm="1">
        <f t="array" ref="G30">Comm_CB(G7, G26, G27, G8, G9, G6/G15)</f>
        <v>102</v>
      </c>
      <c r="H30" s="10" cm="1">
        <f t="array" ref="H30">Comm_CB(H7, H26, H27, H8, H9, H6/H15)</f>
        <v>98</v>
      </c>
      <c r="I30" s="16" cm="1">
        <f t="array" ref="I30">Comm_CB(I7, I26, I27, I8, I9, I6/I15)</f>
        <v>92</v>
      </c>
      <c r="J30" s="16" cm="1">
        <f t="array" ref="J30">Comm_CB(J7, J26, J27, J8, J9, J6/J15)</f>
        <v>86</v>
      </c>
      <c r="K30" s="16" cm="1">
        <f t="array" ref="K30">Comm_CB(K7, K26, K27, K8, K9, K6/K15)</f>
        <v>82</v>
      </c>
      <c r="L30" s="16" cm="1">
        <f t="array" ref="L30">Comm_CB(L7, L26, L27, L8, L9, L6/L15)</f>
        <v>80</v>
      </c>
      <c r="M30" s="16" cm="1">
        <f t="array" ref="M30">Comm_CB(M7, M26, M27, M8, M9, M6/M15)</f>
        <v>74</v>
      </c>
      <c r="N30" s="16" cm="1">
        <f t="array" ref="N30">Comm_CB(N7, N26, N27, N8, N9, N6/N15)</f>
        <v>71</v>
      </c>
      <c r="O30" s="16" cm="1">
        <f t="array" ref="O30">Comm_CB(O7, O26, O27, O8, O9, O6/O15)</f>
        <v>67</v>
      </c>
      <c r="P30" s="16" cm="1">
        <f t="array" ref="P30">Comm_CB(P7, P26, P27, P8, P9, P6/P15)</f>
        <v>61</v>
      </c>
      <c r="Q30" s="10" cm="1">
        <f t="array" ref="Q30">Comm_CB(Q7, Q26, Q27, Q8, Q9, Q6/Q15)</f>
        <v>57</v>
      </c>
      <c r="R30" s="16" cm="1">
        <f t="array" ref="R30">Comm_CB(R7, R26, R27, R8, R9, R6/R15)</f>
        <v>52</v>
      </c>
      <c r="S30" s="16" cm="1">
        <f t="array" ref="S30">Comm_CB(S7, S26, S27, S8, S9, S6/S15)</f>
        <v>47</v>
      </c>
      <c r="T30" s="10" cm="1">
        <f t="array" ref="T30">Comm_CB(T7, T26, T27, T8, T9, T6/T15)</f>
        <v>43</v>
      </c>
      <c r="U30" s="16" cm="1">
        <f t="array" ref="U30">Comm_CB(U7, U26, U27, U8, U9, U6/U15)</f>
        <v>40</v>
      </c>
      <c r="V30" s="16" cm="1">
        <f t="array" ref="V30">Comm_CB(V7, V26, V27, V8, V9, V6/V15)</f>
        <v>37</v>
      </c>
      <c r="W30" s="16" cm="1">
        <f t="array" ref="W30">Comm_CB(W7, W26, W27, W8, W9, W6/W15)</f>
        <v>34</v>
      </c>
      <c r="X30" s="16" cm="1">
        <f t="array" ref="X30">Comm_CB(X7, X26, X27, X8, X9, X6/X15)</f>
        <v>30</v>
      </c>
      <c r="Y30" s="16" cm="1">
        <f t="array" ref="Y30">Comm_CB(Y7, Y26, Y27, Y8, Y9, Y6/Y15)</f>
        <v>27</v>
      </c>
      <c r="Z30" s="10" cm="1">
        <f t="array" ref="Z30">Comm_CB(Z7, Z26, Z27, Z8, Z9, Z6/Z15)</f>
        <v>23</v>
      </c>
    </row>
    <row r="31" spans="2:26" x14ac:dyDescent="0.2">
      <c r="B31" s="1" t="s">
        <v>30</v>
      </c>
      <c r="D31" s="10" cm="1">
        <f t="array" ref="D31">Comm_Parity_Nodes(D7, D26, D27, D8, D9, D6/D15)</f>
        <v>4</v>
      </c>
      <c r="E31" s="16" cm="1">
        <f t="array" ref="E31">Comm_Parity_Nodes(E7, E26, E27, E8, E9, E6/E15)</f>
        <v>5</v>
      </c>
      <c r="F31" s="16" cm="1">
        <f t="array" ref="F31">Comm_Parity_Nodes(F7, F26, F27, F8, F9, F6/F15)</f>
        <v>6</v>
      </c>
      <c r="G31" s="16" cm="1">
        <f t="array" ref="G31">Comm_Parity_Nodes(G7, G26, G27, G8, G9, G6/G15)</f>
        <v>7</v>
      </c>
      <c r="H31" s="10" cm="1">
        <f t="array" ref="H31">Comm_Parity_Nodes(H7, H26, H27, H8, H9, H6/H15)</f>
        <v>8</v>
      </c>
      <c r="I31" s="16" cm="1">
        <f t="array" ref="I31">Comm_Parity_Nodes(I7, I26, I27, I8, I9, I6/I15)</f>
        <v>10</v>
      </c>
      <c r="J31" s="16" cm="1">
        <f t="array" ref="J31">Comm_Parity_Nodes(J7, J26, J27, J8, J9, J6/J15)</f>
        <v>12</v>
      </c>
      <c r="K31" s="16" cm="1">
        <f t="array" ref="K31">Comm_Parity_Nodes(K7, K26, K27, K8, K9, K6/K15)</f>
        <v>14</v>
      </c>
      <c r="L31" s="16" cm="1">
        <f t="array" ref="L31">Comm_Parity_Nodes(L7, L26, L27, L8, L9, L6/L15)</f>
        <v>6</v>
      </c>
      <c r="M31" s="16" cm="1">
        <f t="array" ref="M31">Comm_Parity_Nodes(M7, M26, M27, M8, M9, M6/M15)</f>
        <v>8</v>
      </c>
      <c r="N31" s="16" cm="1">
        <f t="array" ref="N31">Comm_Parity_Nodes(N7, N26, N27, N8, N9, N6/N15)</f>
        <v>9</v>
      </c>
      <c r="O31" s="16" cm="1">
        <f t="array" ref="O31">Comm_Parity_Nodes(O7, O26, O27, O8, O9, O6/O15)</f>
        <v>11</v>
      </c>
      <c r="P31" s="16" cm="1">
        <f t="array" ref="P31">Comm_Parity_Nodes(P7, P26, P27, P8, P9, P6/P15)</f>
        <v>14</v>
      </c>
      <c r="Q31" s="10" cm="1">
        <f t="array" ref="Q31">Comm_Parity_Nodes(Q7, Q26, Q27, Q8, Q9, Q6/Q15)</f>
        <v>16</v>
      </c>
      <c r="R31" s="16" cm="1">
        <f t="array" ref="R31">Comm_Parity_Nodes(R7, R26, R27, R8, R9, R6/R15)</f>
        <v>20</v>
      </c>
      <c r="S31" s="16" cm="1">
        <f t="array" ref="S31">Comm_Parity_Nodes(S7, S26, S27, S8, S9, S6/S15)</f>
        <v>24</v>
      </c>
      <c r="T31" s="10" cm="1">
        <f t="array" ref="T31">Comm_Parity_Nodes(T7, T26, T27, T8, T9, T6/T15)</f>
        <v>28</v>
      </c>
      <c r="U31" s="16" cm="1">
        <f t="array" ref="U31">Comm_Parity_Nodes(U7, U26, U27, U8, U9, U6/U15)</f>
        <v>15</v>
      </c>
      <c r="V31" s="16" cm="1">
        <f t="array" ref="V31">Comm_Parity_Nodes(V7, V26, V27, V8, V9, V6/V15)</f>
        <v>17</v>
      </c>
      <c r="W31" s="16" cm="1">
        <f t="array" ref="W31">Comm_Parity_Nodes(W7, W26, W27, W8, W9, W6/W15)</f>
        <v>21</v>
      </c>
      <c r="X31" s="16" cm="1">
        <f t="array" ref="X31">Comm_Parity_Nodes(X7, X26, X27, X8, X9, X6/X15)</f>
        <v>26</v>
      </c>
      <c r="Y31" s="16" cm="1">
        <f t="array" ref="Y31">Comm_Parity_Nodes(Y7, Y26, Y27, Y8, Y9, Y6/Y15)</f>
        <v>31</v>
      </c>
      <c r="Z31" s="10" cm="1">
        <f t="array" ref="Z31">Comm_Parity_Nodes(Z7, Z26, Z27, Z8, Z9, Z6/Z15)</f>
        <v>40</v>
      </c>
    </row>
    <row r="54" spans="26:26" x14ac:dyDescent="0.2">
      <c r="Z54" s="7"/>
    </row>
  </sheetData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C906ACEE0BDF4B8A70E2B493C26F37" ma:contentTypeVersion="5" ma:contentTypeDescription="Create a new document." ma:contentTypeScope="" ma:versionID="ad8aeae90cfad541aad32127da97fe18">
  <xsd:schema xmlns:xsd="http://www.w3.org/2001/XMLSchema" xmlns:xs="http://www.w3.org/2001/XMLSchema" xmlns:p="http://schemas.microsoft.com/office/2006/metadata/properties" xmlns:ns3="5a78ed92-e972-479a-a8d3-ca3e1e4d7a31" xmlns:ns4="9a8041e9-946d-412c-a66d-2dd6a75e84ce" targetNamespace="http://schemas.microsoft.com/office/2006/metadata/properties" ma:root="true" ma:fieldsID="4920007a5550ed27a91526cc9c5a79cc" ns3:_="" ns4:_="">
    <xsd:import namespace="5a78ed92-e972-479a-a8d3-ca3e1e4d7a31"/>
    <xsd:import namespace="9a8041e9-946d-412c-a66d-2dd6a75e84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8ed92-e972-479a-a8d3-ca3e1e4d7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041e9-946d-412c-a66d-2dd6a75e84c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C084EC-AA31-48D7-A016-15C18ECDD8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78ed92-e972-479a-a8d3-ca3e1e4d7a31"/>
    <ds:schemaRef ds:uri="9a8041e9-946d-412c-a66d-2dd6a75e84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38E93-EEC8-4F2A-A4FD-45A3FEA68E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F92E8D-40EF-4031-927C-7B228DA0D320}">
  <ds:schemaRefs>
    <ds:schemaRef ds:uri="http://purl.org/dc/dcmitype/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5a78ed92-e972-479a-a8d3-ca3e1e4d7a3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8041e9-946d-412c-a66d-2dd6a75e84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F01 - PDSCH</vt:lpstr>
      <vt:lpstr>F01 - PUSCH</vt:lpstr>
      <vt:lpstr>F14 - PDSCH</vt:lpstr>
      <vt:lpstr>F14 - PUSCH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Tommaso Balercia</dc:creator>
  <cp:keywords/>
  <dc:description/>
  <cp:lastModifiedBy>Microsoft Office User</cp:lastModifiedBy>
  <cp:revision/>
  <dcterms:created xsi:type="dcterms:W3CDTF">2020-04-01T21:44:52Z</dcterms:created>
  <dcterms:modified xsi:type="dcterms:W3CDTF">2021-05-06T18:08:22Z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558183-044c-4105-8d9c-cea02a2a3d86_Enabled">
    <vt:lpwstr>True</vt:lpwstr>
  </property>
  <property fmtid="{D5CDD505-2E9C-101B-9397-08002B2CF9AE}" pid="3" name="MSIP_Label_6b558183-044c-4105-8d9c-cea02a2a3d86_SiteId">
    <vt:lpwstr>43083d15-7273-40c1-b7db-39efd9ccc17a</vt:lpwstr>
  </property>
  <property fmtid="{D5CDD505-2E9C-101B-9397-08002B2CF9AE}" pid="4" name="MSIP_Label_6b558183-044c-4105-8d9c-cea02a2a3d86_Owner">
    <vt:lpwstr>tbalercia@nvidia.com</vt:lpwstr>
  </property>
  <property fmtid="{D5CDD505-2E9C-101B-9397-08002B2CF9AE}" pid="5" name="MSIP_Label_6b558183-044c-4105-8d9c-cea02a2a3d86_SetDate">
    <vt:lpwstr>2020-04-02T01:12:22.9531466Z</vt:lpwstr>
  </property>
  <property fmtid="{D5CDD505-2E9C-101B-9397-08002B2CF9AE}" pid="6" name="MSIP_Label_6b558183-044c-4105-8d9c-cea02a2a3d86_Name">
    <vt:lpwstr>Unrestricted</vt:lpwstr>
  </property>
  <property fmtid="{D5CDD505-2E9C-101B-9397-08002B2CF9AE}" pid="7" name="MSIP_Label_6b558183-044c-4105-8d9c-cea02a2a3d86_Application">
    <vt:lpwstr>Microsoft Azure Information Protection</vt:lpwstr>
  </property>
  <property fmtid="{D5CDD505-2E9C-101B-9397-08002B2CF9AE}" pid="8" name="MSIP_Label_6b558183-044c-4105-8d9c-cea02a2a3d86_Extended_MSFT_Method">
    <vt:lpwstr>Automatic</vt:lpwstr>
  </property>
  <property fmtid="{D5CDD505-2E9C-101B-9397-08002B2CF9AE}" pid="9" name="Sensitivity">
    <vt:lpwstr>Unrestricted</vt:lpwstr>
  </property>
  <property fmtid="{D5CDD505-2E9C-101B-9397-08002B2CF9AE}" pid="10" name="ContentTypeId">
    <vt:lpwstr>0x0101005FC906ACEE0BDF4B8A70E2B493C26F37</vt:lpwstr>
  </property>
</Properties>
</file>