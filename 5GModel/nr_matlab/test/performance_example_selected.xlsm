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xiangguot/Desktop/XTANG/NVDA/Work/gputelecom/5GModel/develop/nr_matlab/test/"/>
    </mc:Choice>
  </mc:AlternateContent>
  <xr:revisionPtr revIDLastSave="0" documentId="13_ncr:1_{4DABAE4D-3131-ED48-8830-127A87321B76}" xr6:coauthVersionLast="47" xr6:coauthVersionMax="47" xr10:uidLastSave="{00000000-0000-0000-0000-000000000000}"/>
  <bookViews>
    <workbookView xWindow="0" yWindow="500" windowWidth="35840" windowHeight="21900" tabRatio="931" activeTab="1" xr2:uid="{00000000-000D-0000-FFFF-FFFF00000000}"/>
  </bookViews>
  <sheets>
    <sheet name="F01 - PDSCH" sheetId="4" r:id="rId1"/>
    <sheet name="F01 - PUSCH" sheetId="6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6" i="6" l="1" a="1"/>
  <c r="D27" i="6" a="1"/>
  <c r="D27" i="4" a="1"/>
  <c r="D26" i="4" a="1"/>
  <c r="D27" i="6" l="1"/>
  <c r="D26" i="6"/>
  <c r="D26" i="4"/>
  <c r="D27" i="4"/>
  <c r="D31" i="6" a="1"/>
  <c r="D30" i="6" a="1"/>
  <c r="D29" i="4" a="1"/>
  <c r="D31" i="4" a="1"/>
  <c r="D30" i="4" a="1"/>
  <c r="D28" i="4" a="1"/>
  <c r="D29" i="6" a="1"/>
  <c r="D28" i="6" a="1"/>
  <c r="D30" i="6" l="1"/>
  <c r="D31" i="6"/>
  <c r="D28" i="6"/>
  <c r="D29" i="6"/>
  <c r="D30" i="4"/>
  <c r="D31" i="4"/>
  <c r="D28" i="4"/>
  <c r="D2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<sst xmlns="http://schemas.openxmlformats.org/spreadsheetml/2006/main" count="73" uniqueCount="39">
  <si>
    <t>Test case description</t>
  </si>
  <si>
    <t xml:space="preserve"> </t>
  </si>
  <si>
    <t>Numerology index (μ)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</si>
  <si>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</si>
  <si>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</si>
  <si>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</si>
  <si>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</si>
  <si>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</si>
  <si>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</si>
  <si>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Modulation order (Qm)</t>
  </si>
  <si>
    <t>Target code rate (R x 1024)</t>
  </si>
  <si>
    <t>Cells</t>
  </si>
  <si>
    <t>Total users</t>
  </si>
  <si>
    <t>Layers per user</t>
  </si>
  <si>
    <t>DL/UL Duplexing</t>
  </si>
  <si>
    <t>FDD</t>
  </si>
  <si>
    <t>TDD pattern</t>
  </si>
  <si>
    <t>N/A</t>
  </si>
  <si>
    <t>Special slot</t>
  </si>
  <si>
    <t>DCI format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</si>
  <si>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</si>
  <si>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</si>
  <si>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</si>
  <si>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</si>
  <si>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</si>
  <si>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</si>
  <si>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</si>
  <si>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Lifting size per user (Z)</t>
  </si>
  <si>
    <t>Transport block size per user</t>
  </si>
  <si>
    <t>Codeblocks per user (C)</t>
  </si>
  <si>
    <t>Parity check nodes</t>
  </si>
  <si>
    <t>RF chains</t>
  </si>
  <si>
    <t>PUSCH symbols per slot</t>
  </si>
  <si>
    <t>PUSCH DMRS symbols per slot</t>
  </si>
  <si>
    <t>Bandwidth (MHz)</t>
  </si>
  <si>
    <t>F01-US-01</t>
  </si>
  <si>
    <t>F01-DS-01</t>
  </si>
  <si>
    <t>MCS table</t>
  </si>
  <si>
    <t>MCS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</si>
</sst>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0" fillId="2" borderId="0" xfId="0" applyFont="1" applyFill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0" fillId="4" borderId="0" xfId="0" applyFont="1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ont="1" applyFill="1" applyAlignment="1">
      <alignment horizontal="left" indent="1"/>
    </xf>
    <xf numFmtId="0" fontId="0" fillId="3" borderId="0" xfId="0" applyFill="1" applyAlignment="1">
      <alignment horizontal="right"/>
    </xf>
    <xf numFmtId="0" fontId="0" fillId="0" borderId="0" xfId="0" applyFont="1" applyFill="1" applyAlignment="1">
      <alignment horizontal="right"/>
    </xf>
    <xf numFmtId="0" fontId="0" fillId="4" borderId="0" xfId="0" applyFont="1" applyFill="1" applyAlignment="1">
      <alignment horizontal="left" indent="2"/>
    </xf>
    <xf numFmtId="0" fontId="2" fillId="3" borderId="0" xfId="0" applyFont="1" applyFill="1" applyAlignment="1">
      <alignment horizontal="right"/>
    </xf>
    <xf numFmtId="0" fontId="0" fillId="6" borderId="0" xfId="0" applyFont="1" applyFill="1" applyAlignment="1">
      <alignment horizontal="left" indent="1"/>
    </xf>
  </cellXfs>
  <cellStyles count="2">
    <cellStyle name="Normal" xfId="0" builtinId="0"/>
    <cellStyle name="Normal 2" xfId="1" xr:uid="{00000000-0005-0000-0000-00000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D31"/>
  <sheetViews>
    <sheetView zoomScale="130" zoomScaleNormal="130" workbookViewId="0">
      <selection activeCell="E1" sqref="E1:G1048576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4" width="12.6640625" customWidth="1"/>
  </cols>
  <sheetData>
    <row r="2" spans="2:4" x14ac:dyDescent="0.2">
      <c r="B2" s="3" t="s">
        <v>0</v>
      </c>
      <c r="C2" s="7" t="s">
        <v>1</v>
      </c>
      <c r="D2" s="12" t="s">
        <v>36</v>
      </c>
    </row>
    <row r="3" spans="2:4" x14ac:dyDescent="0.2">
      <c r="B3" s="4" t="s">
        <v>34</v>
      </c>
      <c r="C3" s="7"/>
      <c r="D3" s="6">
        <v>20</v>
      </c>
    </row>
    <row r="4" spans="2:4" x14ac:dyDescent="0.2">
      <c r="B4" s="5" t="s">
        <v>2</v>
      </c>
      <c r="C4" s="7"/>
      <c r="D4" s="6">
        <v>0</v>
      </c>
    </row>
    <row r="5" spans="2:4" x14ac:dyDescent="0.2">
      <c r="B5" s="5" t="s">
        <v>31</v>
      </c>
      <c r="D5" s="6">
        <v>4</v>
      </c>
    </row>
    <row r="6" spans="2:4" x14ac:dyDescent="0.2">
      <c r="B6" s="5" t="s">
        <v>3</v>
      </c>
      <c r="C6" s="7"/>
      <c r="D6" s="6">
        <v>4</v>
      </c>
    </row>
    <row r="7" spans="2:4" x14ac:dyDescent="0.2">
      <c r="B7" s="4" t="s">
        <v>4</v>
      </c>
      <c r="C7" s="7"/>
      <c r="D7" s="6">
        <v>106</v>
      </c>
    </row>
    <row r="8" spans="2:4" x14ac:dyDescent="0.2">
      <c r="B8" s="4" t="s">
        <v>5</v>
      </c>
      <c r="C8" s="7"/>
      <c r="D8" s="6">
        <v>12</v>
      </c>
    </row>
    <row r="9" spans="2:4" x14ac:dyDescent="0.2">
      <c r="B9" s="4" t="s">
        <v>6</v>
      </c>
      <c r="C9" s="7"/>
      <c r="D9" s="6">
        <v>1</v>
      </c>
    </row>
    <row r="10" spans="2:4" x14ac:dyDescent="0.2">
      <c r="B10" s="11" t="s">
        <v>7</v>
      </c>
      <c r="C10" s="7"/>
      <c r="D10" s="6">
        <v>1</v>
      </c>
    </row>
    <row r="11" spans="2:4" x14ac:dyDescent="0.2">
      <c r="B11" s="11" t="s">
        <v>8</v>
      </c>
      <c r="C11" s="7"/>
      <c r="D11" s="6">
        <v>0</v>
      </c>
    </row>
    <row r="12" spans="2:4" x14ac:dyDescent="0.2">
      <c r="B12" s="4" t="s">
        <v>37</v>
      </c>
      <c r="C12" s="7"/>
      <c r="D12" s="6">
        <v>2</v>
      </c>
    </row>
    <row r="13" spans="2:4" x14ac:dyDescent="0.2">
      <c r="B13" s="4" t="s">
        <v>38</v>
      </c>
      <c r="C13" s="7"/>
      <c r="D13" s="6">
        <v>27</v>
      </c>
    </row>
    <row r="14" spans="2:4" x14ac:dyDescent="0.2">
      <c r="B14" s="4" t="s">
        <v>11</v>
      </c>
      <c r="C14" s="7"/>
      <c r="D14" s="6">
        <v>1</v>
      </c>
    </row>
    <row r="15" spans="2:4" x14ac:dyDescent="0.2">
      <c r="B15" s="4" t="s">
        <v>12</v>
      </c>
      <c r="C15" s="7"/>
      <c r="D15" s="6">
        <v>1</v>
      </c>
    </row>
    <row r="16" spans="2:4" x14ac:dyDescent="0.2">
      <c r="B16" s="4" t="s">
        <v>13</v>
      </c>
      <c r="C16" s="7"/>
      <c r="D16" s="6">
        <v>4</v>
      </c>
    </row>
    <row r="17" spans="2:4" x14ac:dyDescent="0.2">
      <c r="B17" s="4" t="s">
        <v>14</v>
      </c>
      <c r="C17" s="7"/>
      <c r="D17" s="6" t="s">
        <v>15</v>
      </c>
    </row>
    <row r="18" spans="2:4" x14ac:dyDescent="0.2">
      <c r="B18" s="11" t="s">
        <v>16</v>
      </c>
      <c r="C18" s="7"/>
      <c r="D18" s="6" t="s">
        <v>17</v>
      </c>
    </row>
    <row r="19" spans="2:4" x14ac:dyDescent="0.2">
      <c r="B19" s="4" t="s">
        <v>18</v>
      </c>
      <c r="C19" s="7"/>
      <c r="D19" s="6" t="s">
        <v>17</v>
      </c>
    </row>
    <row r="20" spans="2:4" x14ac:dyDescent="0.2">
      <c r="B20" s="4" t="s">
        <v>19</v>
      </c>
      <c r="C20" s="7"/>
      <c r="D20" s="6">
        <v>1</v>
      </c>
    </row>
    <row r="21" spans="2:4" x14ac:dyDescent="0.2">
      <c r="B21" s="2" t="s">
        <v>20</v>
      </c>
      <c r="C21" s="7"/>
      <c r="D21" s="9"/>
    </row>
    <row r="22" spans="2:4" x14ac:dyDescent="0.2">
      <c r="B22" s="8" t="s">
        <v>21</v>
      </c>
      <c r="C22" s="7"/>
      <c r="D22" s="6" t="s">
        <v>22</v>
      </c>
    </row>
    <row r="23" spans="2:4" x14ac:dyDescent="0.2">
      <c r="B23" s="8" t="s">
        <v>23</v>
      </c>
      <c r="C23" s="7"/>
      <c r="D23" s="6">
        <v>0</v>
      </c>
    </row>
    <row r="24" spans="2:4" x14ac:dyDescent="0.2">
      <c r="B24" s="8" t="s">
        <v>24</v>
      </c>
      <c r="C24" s="7"/>
      <c r="D24" s="6" t="s">
        <v>25</v>
      </c>
    </row>
    <row r="25" spans="2:4" x14ac:dyDescent="0.2">
      <c r="B25" s="2" t="s">
        <v>26</v>
      </c>
      <c r="C25" s="7"/>
      <c r="D25" s="9"/>
    </row>
    <row r="26" spans="2:4" x14ac:dyDescent="0.2">
      <c r="B26" s="13" t="s">
        <v>9</v>
      </c>
      <c r="C26" s="7"/>
      <c r="D26" s="6" cm="1">
        <f t="array" ref="D26">Comm_MCS_ModOrd(D12,D13)</f>
        <v>8</v>
      </c>
    </row>
    <row r="27" spans="2:4" x14ac:dyDescent="0.2">
      <c r="B27" s="13" t="s">
        <v>10</v>
      </c>
      <c r="C27" s="7"/>
      <c r="D27" s="6" cm="1">
        <f t="array" ref="D27">Comm_MCS_CodeRate(D12,D13)</f>
        <v>948</v>
      </c>
    </row>
    <row r="28" spans="2:4" x14ac:dyDescent="0.2">
      <c r="B28" s="1" t="s">
        <v>27</v>
      </c>
      <c r="C28" s="7"/>
      <c r="D28" s="10" cm="1">
        <f t="array" ref="D28">Comm_Z(D7, D26, D27, D8, D9, D6/D15)</f>
        <v>384</v>
      </c>
    </row>
    <row r="29" spans="2:4" x14ac:dyDescent="0.2">
      <c r="B29" s="1" t="s">
        <v>28</v>
      </c>
      <c r="C29" s="7"/>
      <c r="D29" s="10" cm="1">
        <f t="array" ref="D29">Comm_TBS(D7, D26, D27, D8, D9, D6/D15)</f>
        <v>417976</v>
      </c>
    </row>
    <row r="30" spans="2:4" x14ac:dyDescent="0.2">
      <c r="B30" s="1" t="s">
        <v>29</v>
      </c>
      <c r="C30" s="7"/>
      <c r="D30" s="10" cm="1">
        <f t="array" ref="D30">Comm_CB(D7, D26, D27, D8, D9, D6/D15)</f>
        <v>50</v>
      </c>
    </row>
    <row r="31" spans="2:4" x14ac:dyDescent="0.2">
      <c r="B31" s="1" t="s">
        <v>30</v>
      </c>
      <c r="D31" s="10" cm="1">
        <f t="array" ref="D31">Comm_Parity_Nodes(D7, D26, D27, D8, D9, D6/D15)</f>
        <v>4</v>
      </c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D31"/>
  <sheetViews>
    <sheetView tabSelected="1" zoomScale="130" zoomScaleNormal="130" workbookViewId="0">
      <selection activeCell="K13" sqref="K13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4" width="12.6640625" customWidth="1"/>
  </cols>
  <sheetData>
    <row r="2" spans="2:4" x14ac:dyDescent="0.2">
      <c r="B2" s="3" t="s">
        <v>0</v>
      </c>
      <c r="C2" s="7"/>
      <c r="D2" s="12" t="s">
        <v>35</v>
      </c>
    </row>
    <row r="3" spans="2:4" x14ac:dyDescent="0.2">
      <c r="B3" s="4" t="s">
        <v>34</v>
      </c>
      <c r="C3" s="7"/>
      <c r="D3" s="6">
        <v>20</v>
      </c>
    </row>
    <row r="4" spans="2:4" x14ac:dyDescent="0.2">
      <c r="B4" s="5" t="s">
        <v>2</v>
      </c>
      <c r="C4" s="7"/>
      <c r="D4" s="6">
        <v>0</v>
      </c>
    </row>
    <row r="5" spans="2:4" x14ac:dyDescent="0.2">
      <c r="B5" s="5" t="s">
        <v>31</v>
      </c>
      <c r="D5" s="6">
        <v>4</v>
      </c>
    </row>
    <row r="6" spans="2:4" x14ac:dyDescent="0.2">
      <c r="B6" s="5" t="s">
        <v>3</v>
      </c>
      <c r="C6" s="7"/>
      <c r="D6" s="6">
        <v>1</v>
      </c>
    </row>
    <row r="7" spans="2:4" x14ac:dyDescent="0.2">
      <c r="B7" s="4" t="s">
        <v>4</v>
      </c>
      <c r="C7" s="7"/>
      <c r="D7" s="6">
        <v>104</v>
      </c>
    </row>
    <row r="8" spans="2:4" x14ac:dyDescent="0.2">
      <c r="B8" s="4" t="s">
        <v>32</v>
      </c>
      <c r="C8" s="7"/>
      <c r="D8" s="6">
        <v>14</v>
      </c>
    </row>
    <row r="9" spans="2:4" x14ac:dyDescent="0.2">
      <c r="B9" s="4" t="s">
        <v>33</v>
      </c>
      <c r="C9" s="7"/>
      <c r="D9" s="6">
        <v>1</v>
      </c>
    </row>
    <row r="10" spans="2:4" x14ac:dyDescent="0.2">
      <c r="B10" s="11" t="s">
        <v>7</v>
      </c>
      <c r="C10" s="7"/>
      <c r="D10" s="6">
        <v>1</v>
      </c>
    </row>
    <row r="11" spans="2:4" x14ac:dyDescent="0.2">
      <c r="B11" s="11" t="s">
        <v>8</v>
      </c>
      <c r="C11" s="7"/>
      <c r="D11" s="6">
        <v>0</v>
      </c>
    </row>
    <row r="12" spans="2:4" x14ac:dyDescent="0.2">
      <c r="B12" s="4" t="s">
        <v>37</v>
      </c>
      <c r="C12" s="7"/>
      <c r="D12" s="6">
        <v>2</v>
      </c>
    </row>
    <row r="13" spans="2:4" x14ac:dyDescent="0.2">
      <c r="B13" s="4" t="s">
        <v>38</v>
      </c>
      <c r="C13" s="7"/>
      <c r="D13" s="6">
        <v>27</v>
      </c>
    </row>
    <row r="14" spans="2:4" x14ac:dyDescent="0.2">
      <c r="B14" s="4" t="s">
        <v>11</v>
      </c>
      <c r="C14" s="7"/>
      <c r="D14" s="6">
        <v>1</v>
      </c>
    </row>
    <row r="15" spans="2:4" x14ac:dyDescent="0.2">
      <c r="B15" s="4" t="s">
        <v>12</v>
      </c>
      <c r="C15" s="7"/>
      <c r="D15" s="6">
        <v>1</v>
      </c>
    </row>
    <row r="16" spans="2:4" x14ac:dyDescent="0.2">
      <c r="B16" s="4" t="s">
        <v>13</v>
      </c>
      <c r="C16" s="7"/>
      <c r="D16" s="6">
        <v>1</v>
      </c>
    </row>
    <row r="17" spans="2:4" x14ac:dyDescent="0.2">
      <c r="B17" s="4" t="s">
        <v>14</v>
      </c>
      <c r="C17" s="7"/>
      <c r="D17" s="6" t="s">
        <v>15</v>
      </c>
    </row>
    <row r="18" spans="2:4" x14ac:dyDescent="0.2">
      <c r="B18" s="11" t="s">
        <v>16</v>
      </c>
      <c r="C18" s="7"/>
      <c r="D18" s="6" t="s">
        <v>17</v>
      </c>
    </row>
    <row r="19" spans="2:4" x14ac:dyDescent="0.2">
      <c r="B19" s="4" t="s">
        <v>18</v>
      </c>
      <c r="C19" s="7"/>
      <c r="D19" s="6" t="s">
        <v>17</v>
      </c>
    </row>
    <row r="20" spans="2:4" x14ac:dyDescent="0.2">
      <c r="B20" s="4" t="s">
        <v>19</v>
      </c>
      <c r="C20" s="7"/>
      <c r="D20" s="6">
        <v>1</v>
      </c>
    </row>
    <row r="21" spans="2:4" x14ac:dyDescent="0.2">
      <c r="B21" s="2" t="s">
        <v>20</v>
      </c>
      <c r="C21" s="7"/>
      <c r="D21" s="9"/>
    </row>
    <row r="22" spans="2:4" x14ac:dyDescent="0.2">
      <c r="B22" s="8" t="s">
        <v>21</v>
      </c>
      <c r="C22" s="7"/>
      <c r="D22" s="6" t="s">
        <v>22</v>
      </c>
    </row>
    <row r="23" spans="2:4" x14ac:dyDescent="0.2">
      <c r="B23" s="8" t="s">
        <v>23</v>
      </c>
      <c r="C23" s="7"/>
      <c r="D23" s="6">
        <v>0</v>
      </c>
    </row>
    <row r="24" spans="2:4" x14ac:dyDescent="0.2">
      <c r="B24" s="8" t="s">
        <v>24</v>
      </c>
      <c r="C24" s="7"/>
      <c r="D24" s="6" t="s">
        <v>25</v>
      </c>
    </row>
    <row r="25" spans="2:4" x14ac:dyDescent="0.2">
      <c r="B25" s="2" t="s">
        <v>26</v>
      </c>
      <c r="C25" s="7"/>
      <c r="D25" s="9"/>
    </row>
    <row r="26" spans="2:4" x14ac:dyDescent="0.2">
      <c r="B26" s="13" t="s">
        <v>9</v>
      </c>
      <c r="C26" s="7"/>
      <c r="D26" s="6" cm="1">
        <f t="array" ref="D26">Comm_MCS_ModOrd(D12,D13)</f>
        <v>8</v>
      </c>
    </row>
    <row r="27" spans="2:4" x14ac:dyDescent="0.2">
      <c r="B27" s="13" t="s">
        <v>10</v>
      </c>
      <c r="C27" s="7"/>
      <c r="D27" s="6" cm="1">
        <f t="array" ref="D27">Comm_MCS_CodeRate(D12,D13)</f>
        <v>948</v>
      </c>
    </row>
    <row r="28" spans="2:4" x14ac:dyDescent="0.2">
      <c r="B28" s="1" t="s">
        <v>27</v>
      </c>
      <c r="C28" s="7"/>
      <c r="D28" s="10" cm="1">
        <f t="array" ref="D28">Comm_Z(D7, D26, D27, D8, D9, D6/D15)</f>
        <v>384</v>
      </c>
    </row>
    <row r="29" spans="2:4" x14ac:dyDescent="0.2">
      <c r="B29" s="1" t="s">
        <v>28</v>
      </c>
      <c r="C29" s="7"/>
      <c r="D29" s="10" cm="1">
        <f t="array" ref="D29">Comm_TBS(D7, D26, D27, D8, D9, D6/D15)</f>
        <v>120936</v>
      </c>
    </row>
    <row r="30" spans="2:4" x14ac:dyDescent="0.2">
      <c r="B30" s="1" t="s">
        <v>29</v>
      </c>
      <c r="C30" s="7"/>
      <c r="D30" s="10" cm="1">
        <f t="array" ref="D30">Comm_CB(D7, D26, D27, D8, D9, D6/D15)</f>
        <v>15</v>
      </c>
    </row>
    <row r="31" spans="2:4" x14ac:dyDescent="0.2">
      <c r="B31" s="1" t="s">
        <v>30</v>
      </c>
      <c r="D31" s="10" cm="1">
        <f t="array" ref="D31">Comm_Parity_Nodes(D7, D26, D27, D8, D9, D6/D15)</f>
        <v>4</v>
      </c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F92E8D-40EF-4031-927C-7B228DA0D320}">
  <ds:schemaRefs>
    <ds:schemaRef ds:uri="http://purl.org/dc/terms/"/>
    <ds:schemaRef ds:uri="http://schemas.openxmlformats.org/package/2006/metadata/core-properties"/>
    <ds:schemaRef ds:uri="5a78ed92-e972-479a-a8d3-ca3e1e4d7a31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9a8041e9-946d-412c-a66d-2dd6a75e84c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F01 - PDSCH</vt:lpstr>
      <vt:lpstr>F01 - PUSCH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Balercia</dc:creator>
  <cp:lastModifiedBy>Microsoft Office User</cp:lastModifiedBy>
  <cp:revision/>
  <dcterms:created xsi:type="dcterms:W3CDTF">2020-04-01T21:44:52Z</dcterms:created>
  <dcterms:modified xsi:type="dcterms:W3CDTF">2021-10-27T16:54:31Z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